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gastonguayrussell/Proj/SIV_HIV_rebound_kinetics/results_eclipse/summary_single_fit/"/>
    </mc:Choice>
  </mc:AlternateContent>
  <xr:revisionPtr revIDLastSave="0" documentId="8_{A3B91873-8079-9D4D-86E5-9A3D4CE9A490}" xr6:coauthVersionLast="47" xr6:coauthVersionMax="47" xr10:uidLastSave="{00000000-0000-0000-0000-000000000000}"/>
  <bookViews>
    <workbookView xWindow="1960" yWindow="980" windowWidth="27640" windowHeight="16940" xr2:uid="{F565D803-09A9-F94D-B76F-C369E73A8D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2" i="1"/>
  <c r="B15" i="1"/>
  <c r="B13" i="1"/>
  <c r="B6" i="1"/>
  <c r="D8" i="1"/>
  <c r="D7" i="1"/>
  <c r="D6" i="1"/>
  <c r="D5" i="1"/>
  <c r="D4" i="1"/>
  <c r="D3" i="1"/>
  <c r="B4" i="1"/>
</calcChain>
</file>

<file path=xl/sharedStrings.xml><?xml version="1.0" encoding="utf-8"?>
<sst xmlns="http://schemas.openxmlformats.org/spreadsheetml/2006/main" count="48" uniqueCount="26">
  <si>
    <t>Mean</t>
  </si>
  <si>
    <t>Random effect</t>
  </si>
  <si>
    <t>TLR7</t>
  </si>
  <si>
    <t>2.6 [1.5, 4.5]</t>
  </si>
  <si>
    <t>12.6 [2.1, 78]</t>
  </si>
  <si>
    <t>lambda</t>
  </si>
  <si>
    <t>beta</t>
  </si>
  <si>
    <t>ta</t>
  </si>
  <si>
    <t>NP</t>
  </si>
  <si>
    <t>p</t>
  </si>
  <si>
    <t>m</t>
  </si>
  <si>
    <t>RSE of mean(%)</t>
  </si>
  <si>
    <t>RSE of Random Effect (%)</t>
  </si>
  <si>
    <t>Study1</t>
  </si>
  <si>
    <t>Study 2</t>
  </si>
  <si>
    <t>Vac</t>
  </si>
  <si>
    <t>TLR7*Vac</t>
  </si>
  <si>
    <t>0.09 [0.017, 0.47]</t>
  </si>
  <si>
    <t>5.2 [2.3, 12]</t>
  </si>
  <si>
    <t>Study 3</t>
  </si>
  <si>
    <t>Ab</t>
  </si>
  <si>
    <t>TLR7*Ab</t>
  </si>
  <si>
    <t>0.2 [0.11, 0.37]</t>
  </si>
  <si>
    <t>0.03 [0.0063, 0.15]</t>
  </si>
  <si>
    <t>0.15 [0.076,	0.30]</t>
  </si>
  <si>
    <t>14 [2.9, 68]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</si>
</sst>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40AB-04DD-1640-BB50-41878BDDB6C7}">
  <dimension ref="A1:H33"/>
  <sheetViews>
    <sheetView tabSelected="1" workbookViewId="0">
      <selection activeCell="H29" sqref="H29"/>
    </sheetView>
  </sheetViews>
  <sheetFormatPr baseColWidth="10" defaultRowHeight="16" x14ac:dyDescent="0.2"/>
  <cols>
    <col min="2" max="2" width="15.6640625" bestFit="1" customWidth="1"/>
    <col min="3" max="3" width="13.83203125" bestFit="1" customWidth="1"/>
    <col min="4" max="4" width="12.83203125" bestFit="1" customWidth="1"/>
    <col min="5" max="5" width="21.6640625" bestFit="1" customWidth="1"/>
    <col min="6" max="6" width="11.33203125" bestFit="1" customWidth="1"/>
    <col min="7" max="7" width="15.33203125" customWidth="1"/>
    <col min="8" max="8" width="14.83203125" bestFit="1" customWidth="1"/>
    <col min="13" max="13" width="16" customWidth="1"/>
  </cols>
  <sheetData>
    <row r="1" spans="1:8" x14ac:dyDescent="0.2">
      <c r="A1" t="s">
        <v>13</v>
      </c>
    </row>
    <row r="2" spans="1:8" x14ac:dyDescent="0.2">
      <c r="B2" t="s">
        <v>0</v>
      </c>
      <c r="C2" t="s">
        <v>11</v>
      </c>
      <c r="D2" t="s">
        <v>1</v>
      </c>
      <c r="E2" t="s">
        <v>12</v>
      </c>
      <c r="F2" t="s">
        <v>2</v>
      </c>
    </row>
    <row r="3" spans="1:8" x14ac:dyDescent="0.2">
      <c r="A3" t="s">
        <v>5</v>
      </c>
      <c r="B3" s="6">
        <v>200</v>
      </c>
      <c r="C3" s="1"/>
      <c r="D3" s="4">
        <f>EXP(0.544593841)</f>
        <v>1.7239080593913267</v>
      </c>
      <c r="E3" s="5">
        <v>38.040060898158899</v>
      </c>
      <c r="F3" s="4" t="s">
        <v>3</v>
      </c>
    </row>
    <row r="4" spans="1:8" x14ac:dyDescent="0.2">
      <c r="A4" t="s">
        <v>6</v>
      </c>
      <c r="B4" s="8">
        <f>4.475017344*10^-7</f>
        <v>4.4750173440000003E-7</v>
      </c>
      <c r="C4" s="5">
        <v>28.6320416383371</v>
      </c>
      <c r="D4" s="4">
        <f>EXP(0.30607052)</f>
        <v>1.3580780748369004</v>
      </c>
      <c r="E4" s="5">
        <v>41.600741578222802</v>
      </c>
      <c r="F4" s="4"/>
    </row>
    <row r="5" spans="1:8" x14ac:dyDescent="0.2">
      <c r="A5" t="s">
        <v>7</v>
      </c>
      <c r="B5" s="3">
        <v>0.351004214900283</v>
      </c>
      <c r="C5" s="5">
        <v>98.305159466001896</v>
      </c>
      <c r="D5" s="4">
        <f>EXP(1.545434761)</f>
        <v>4.6900102173722287</v>
      </c>
      <c r="E5" s="5">
        <v>31.008321477676802</v>
      </c>
      <c r="F5" s="4" t="s">
        <v>4</v>
      </c>
    </row>
    <row r="6" spans="1:8" x14ac:dyDescent="0.2">
      <c r="A6" t="s">
        <v>8</v>
      </c>
      <c r="B6" s="8">
        <f>6.75553841486789*10^5</f>
        <v>675553.84148678894</v>
      </c>
      <c r="C6" s="5">
        <v>49.660118310742199</v>
      </c>
      <c r="D6" s="4">
        <f>EXP(1.633160936)</f>
        <v>5.1200332644848059</v>
      </c>
      <c r="E6" s="5">
        <v>25.608971568425801</v>
      </c>
      <c r="F6" s="4"/>
    </row>
    <row r="7" spans="1:8" x14ac:dyDescent="0.2">
      <c r="A7" t="s">
        <v>9</v>
      </c>
      <c r="B7" s="6">
        <v>3</v>
      </c>
      <c r="C7" s="7"/>
      <c r="D7" s="4">
        <f>EXP(0.404427488)</f>
        <v>1.4984443770501528</v>
      </c>
      <c r="E7" s="5">
        <v>51.041987877510699</v>
      </c>
      <c r="F7" s="4"/>
    </row>
    <row r="8" spans="1:8" x14ac:dyDescent="0.2">
      <c r="A8" t="s">
        <v>10</v>
      </c>
      <c r="B8" s="3">
        <v>108.24054816312901</v>
      </c>
      <c r="C8" s="5">
        <v>125.060146566285</v>
      </c>
      <c r="D8" s="4">
        <f>EXP(2.218620208)</f>
        <v>9.1946354249602216</v>
      </c>
      <c r="E8" s="5">
        <v>44.024197219427101</v>
      </c>
    </row>
    <row r="9" spans="1:8" x14ac:dyDescent="0.2">
      <c r="E9" s="5"/>
    </row>
    <row r="10" spans="1:8" x14ac:dyDescent="0.2">
      <c r="A10" t="s">
        <v>14</v>
      </c>
    </row>
    <row r="11" spans="1:8" x14ac:dyDescent="0.2">
      <c r="B11" t="s">
        <v>0</v>
      </c>
      <c r="C11" t="s">
        <v>11</v>
      </c>
      <c r="D11" t="s">
        <v>1</v>
      </c>
      <c r="E11" t="s">
        <v>12</v>
      </c>
      <c r="F11" t="s">
        <v>2</v>
      </c>
      <c r="G11" t="s">
        <v>15</v>
      </c>
      <c r="H11" t="s">
        <v>16</v>
      </c>
    </row>
    <row r="12" spans="1:8" x14ac:dyDescent="0.2">
      <c r="A12" t="s">
        <v>5</v>
      </c>
      <c r="B12" s="6">
        <v>50</v>
      </c>
      <c r="C12" s="1"/>
      <c r="D12" s="4">
        <v>1.3200683312963659</v>
      </c>
      <c r="E12" s="5">
        <v>30.061727589113801</v>
      </c>
      <c r="F12" s="4"/>
    </row>
    <row r="13" spans="1:8" x14ac:dyDescent="0.2">
      <c r="A13" t="s">
        <v>6</v>
      </c>
      <c r="B13" s="8">
        <f>15.4893134113447*0.0000001</f>
        <v>1.5489313411344698E-6</v>
      </c>
      <c r="C13" s="5">
        <v>11.0619789389169</v>
      </c>
      <c r="D13" s="4">
        <v>1.2084086882438976</v>
      </c>
      <c r="E13" s="5">
        <v>66.023155263597602</v>
      </c>
      <c r="F13" s="4"/>
    </row>
    <row r="14" spans="1:8" x14ac:dyDescent="0.2">
      <c r="A14" t="s">
        <v>7</v>
      </c>
      <c r="B14" s="3">
        <v>0.40874210383452397</v>
      </c>
      <c r="C14" s="5">
        <v>46.773632067301797</v>
      </c>
      <c r="D14" s="4">
        <v>1.9929492205602997</v>
      </c>
      <c r="E14" s="5">
        <v>24.487941294335201</v>
      </c>
      <c r="F14" s="4"/>
      <c r="G14" s="2" t="s">
        <v>18</v>
      </c>
      <c r="H14" s="2"/>
    </row>
    <row r="15" spans="1:8" x14ac:dyDescent="0.2">
      <c r="A15" t="s">
        <v>8</v>
      </c>
      <c r="B15" s="8">
        <f>18.5796328139346*10^5</f>
        <v>1857963.2813934602</v>
      </c>
      <c r="C15" s="5">
        <v>78.630881940034101</v>
      </c>
      <c r="D15" s="4">
        <v>5.0959916344659471</v>
      </c>
      <c r="E15" s="5">
        <v>18.463476916764101</v>
      </c>
      <c r="F15" s="4"/>
      <c r="G15" s="2" t="s">
        <v>23</v>
      </c>
      <c r="H15" s="2" t="s">
        <v>17</v>
      </c>
    </row>
    <row r="16" spans="1:8" x14ac:dyDescent="0.2">
      <c r="A16" t="s">
        <v>9</v>
      </c>
      <c r="B16" s="6">
        <v>0.7</v>
      </c>
      <c r="C16" s="7"/>
      <c r="D16" s="4">
        <v>1.2352757232365141</v>
      </c>
      <c r="E16" s="5">
        <v>52.2887739055436</v>
      </c>
      <c r="F16" s="4"/>
    </row>
    <row r="17" spans="1:8" x14ac:dyDescent="0.2">
      <c r="A17" t="s">
        <v>10</v>
      </c>
      <c r="B17" s="3">
        <v>71.046373083879203</v>
      </c>
      <c r="C17" s="5">
        <v>43.245566250843197</v>
      </c>
      <c r="D17" s="4">
        <v>4.3223368954849892</v>
      </c>
      <c r="E17" s="5">
        <v>21.677983999805502</v>
      </c>
    </row>
    <row r="19" spans="1:8" x14ac:dyDescent="0.2">
      <c r="A19" t="s">
        <v>19</v>
      </c>
    </row>
    <row r="20" spans="1:8" x14ac:dyDescent="0.2">
      <c r="B20" t="s">
        <v>0</v>
      </c>
      <c r="C20" t="s">
        <v>11</v>
      </c>
      <c r="D20" t="s">
        <v>1</v>
      </c>
      <c r="E20" t="s">
        <v>12</v>
      </c>
      <c r="F20" t="s">
        <v>2</v>
      </c>
      <c r="G20" t="s">
        <v>20</v>
      </c>
      <c r="H20" t="s">
        <v>21</v>
      </c>
    </row>
    <row r="21" spans="1:8" x14ac:dyDescent="0.2">
      <c r="A21" t="s">
        <v>5</v>
      </c>
      <c r="B21" s="6">
        <v>200</v>
      </c>
      <c r="C21" s="1"/>
      <c r="D21" s="4">
        <v>1.8510548903249842</v>
      </c>
      <c r="E21" s="5">
        <v>32.477848334457697</v>
      </c>
      <c r="F21" s="4"/>
    </row>
    <row r="22" spans="1:8" x14ac:dyDescent="0.2">
      <c r="A22" t="s">
        <v>6</v>
      </c>
      <c r="B22" s="8">
        <f>11.9949921691068*10^-7</f>
        <v>1.1994992169106799E-6</v>
      </c>
      <c r="C22" s="5">
        <v>30.632851325922299</v>
      </c>
      <c r="D22" s="4">
        <v>1.2395692646733407</v>
      </c>
      <c r="E22" s="5">
        <v>69.114472426983596</v>
      </c>
      <c r="F22" s="4"/>
      <c r="G22" t="s">
        <v>22</v>
      </c>
    </row>
    <row r="23" spans="1:8" x14ac:dyDescent="0.2">
      <c r="A23" t="s">
        <v>7</v>
      </c>
      <c r="B23" s="3">
        <v>9.0127282046126602</v>
      </c>
      <c r="C23" s="5">
        <v>20.679337253069399</v>
      </c>
      <c r="D23" s="4">
        <v>2.4843135836611925</v>
      </c>
      <c r="E23" s="5">
        <v>21.6483017120221</v>
      </c>
      <c r="F23" s="4"/>
      <c r="G23" s="2"/>
      <c r="H23" s="2"/>
    </row>
    <row r="24" spans="1:8" x14ac:dyDescent="0.2">
      <c r="A24" t="s">
        <v>8</v>
      </c>
      <c r="B24" s="8">
        <f>0.169457794838808*10^5</f>
        <v>16945.7794838808</v>
      </c>
      <c r="C24" s="5">
        <v>24.477371324577899</v>
      </c>
      <c r="D24" s="4">
        <v>1.7769775760942204</v>
      </c>
      <c r="E24" s="5">
        <v>56.026317286857598</v>
      </c>
      <c r="F24" s="4"/>
      <c r="G24" t="s">
        <v>24</v>
      </c>
      <c r="H24" s="2"/>
    </row>
    <row r="25" spans="1:8" x14ac:dyDescent="0.2">
      <c r="A25" t="s">
        <v>9</v>
      </c>
      <c r="B25" s="6">
        <v>1</v>
      </c>
      <c r="C25" s="7"/>
      <c r="D25" s="4">
        <v>1.4611111617659638</v>
      </c>
      <c r="E25" s="5">
        <v>70.539614839522201</v>
      </c>
      <c r="F25" s="4"/>
    </row>
    <row r="26" spans="1:8" x14ac:dyDescent="0.2">
      <c r="A26" t="s">
        <v>10</v>
      </c>
      <c r="B26" s="3">
        <v>74.770796739904796</v>
      </c>
      <c r="C26" s="5">
        <v>64.613640268358793</v>
      </c>
      <c r="D26" s="4">
        <v>6.8162428893223526</v>
      </c>
      <c r="E26" s="5">
        <v>20.875927062751799</v>
      </c>
      <c r="F26" t="s">
        <v>25</v>
      </c>
    </row>
    <row r="28" spans="1:8" x14ac:dyDescent="0.2">
      <c r="E28" s="4"/>
    </row>
    <row r="29" spans="1:8" x14ac:dyDescent="0.2">
      <c r="E29" s="4"/>
      <c r="G29" s="3"/>
    </row>
    <row r="30" spans="1:8" x14ac:dyDescent="0.2">
      <c r="E30" s="4"/>
    </row>
    <row r="31" spans="1:8" x14ac:dyDescent="0.2">
      <c r="E31" s="4"/>
    </row>
    <row r="32" spans="1:8" x14ac:dyDescent="0.2">
      <c r="E32" s="4"/>
    </row>
    <row r="33" spans="5:5" x14ac:dyDescent="0.2">
      <c r="E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Gastonguay</dc:creator>
  <cp:lastModifiedBy>Madeleine Gastonguay</cp:lastModifiedBy>
  <dcterms:created xsi:type="dcterms:W3CDTF">2025-09-04T21:35:02Z</dcterms:created>
  <dcterms:modified xsi:type="dcterms:W3CDTF">2025-09-04T22:14:39Z</dcterms:modified>
</cp:coreProperties>
</file>