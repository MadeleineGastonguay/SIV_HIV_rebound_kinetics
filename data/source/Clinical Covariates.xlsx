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Ali/Dropbox/Research/HIV/Bordeaux/"/>
    </mc:Choice>
  </mc:AlternateContent>
  <xr:revisionPtr revIDLastSave="0" documentId="13_ncr:1_{9E512D03-A0FA-3A49-9AFE-9841BCA3B2AF}" xr6:coauthVersionLast="45" xr6:coauthVersionMax="45" xr10:uidLastSave="{00000000-0000-0000-0000-000000000000}"/>
  <bookViews>
    <workbookView xWindow="580" yWindow="460" windowWidth="25100" windowHeight="15440" firstSheet="1" activeTab="6" xr2:uid="{00000000-000D-0000-FFFF-FFFF00000000}"/>
  </bookViews>
  <sheets>
    <sheet name="SIV DNA" sheetId="1" r:id="rId1"/>
    <sheet name="CD4" sheetId="2" r:id="rId2"/>
    <sheet name="Immune" sheetId="4" r:id="rId3"/>
    <sheet name="Individual Parameters 1 2" sheetId="5" r:id="rId4"/>
    <sheet name="Individual Parameters S3" sheetId="7" r:id="rId5"/>
    <sheet name="Reservoir correlations" sheetId="6" r:id="rId6"/>
    <sheet name="CD4 Correlations" sheetId="8" r:id="rId7"/>
    <sheet name="Immune Correlations" sheetId="9" r:id="rId8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77" i="9" l="1"/>
  <c r="P76" i="9"/>
  <c r="P75" i="9"/>
  <c r="M38" i="9"/>
  <c r="M37" i="9"/>
  <c r="M36" i="9"/>
  <c r="M35" i="9"/>
  <c r="M34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0" i="9"/>
  <c r="M9" i="9"/>
  <c r="M8" i="9"/>
  <c r="M7" i="9"/>
  <c r="M6" i="9"/>
  <c r="M5" i="9"/>
  <c r="M4" i="9"/>
  <c r="M3" i="9"/>
  <c r="G2" i="8" l="1"/>
  <c r="G9" i="8"/>
  <c r="G8" i="8"/>
  <c r="G7" i="8"/>
  <c r="G6" i="8"/>
  <c r="G5" i="8"/>
  <c r="G4" i="8"/>
  <c r="G3" i="8"/>
  <c r="F57" i="6"/>
  <c r="E57" i="6"/>
  <c r="F56" i="6"/>
  <c r="E56" i="6"/>
  <c r="F55" i="6"/>
  <c r="E55" i="6"/>
  <c r="F54" i="6"/>
  <c r="E54" i="6"/>
  <c r="F53" i="6"/>
  <c r="E53" i="6"/>
  <c r="F52" i="6"/>
  <c r="E52" i="6"/>
  <c r="F51" i="6"/>
  <c r="E51" i="6"/>
  <c r="F50" i="6"/>
  <c r="E50" i="6"/>
  <c r="F49" i="6"/>
  <c r="E49" i="6"/>
  <c r="F48" i="6"/>
  <c r="E48" i="6"/>
  <c r="F47" i="6"/>
  <c r="E47" i="6"/>
  <c r="F46" i="6"/>
  <c r="E46" i="6"/>
  <c r="F45" i="6"/>
  <c r="E45" i="6"/>
  <c r="F44" i="6"/>
  <c r="E44" i="6"/>
  <c r="F43" i="6"/>
  <c r="E43" i="6"/>
  <c r="F42" i="6"/>
  <c r="E42" i="6"/>
  <c r="F41" i="6"/>
  <c r="E41" i="6"/>
  <c r="F40" i="6"/>
  <c r="E40" i="6"/>
  <c r="F39" i="6"/>
  <c r="E39" i="6"/>
  <c r="F38" i="6"/>
  <c r="E38" i="6"/>
  <c r="F37" i="6"/>
  <c r="E37" i="6"/>
  <c r="F36" i="6"/>
  <c r="E36" i="6"/>
  <c r="F35" i="6"/>
  <c r="E35" i="6"/>
  <c r="F34" i="6"/>
  <c r="E34" i="6"/>
  <c r="F33" i="6"/>
  <c r="E33" i="6"/>
  <c r="F32" i="6"/>
  <c r="E32" i="6"/>
  <c r="K38" i="9"/>
  <c r="K37" i="9"/>
  <c r="K36" i="9"/>
  <c r="K35" i="9"/>
  <c r="K34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1" i="9"/>
  <c r="K10" i="9"/>
  <c r="K9" i="9"/>
  <c r="K8" i="9"/>
  <c r="K7" i="9"/>
  <c r="K6" i="9"/>
  <c r="K5" i="9"/>
  <c r="K4" i="9"/>
  <c r="K3" i="9"/>
  <c r="C38" i="9"/>
  <c r="D38" i="9" s="1"/>
  <c r="C37" i="9"/>
  <c r="D37" i="9" s="1"/>
  <c r="C36" i="9"/>
  <c r="D36" i="9" s="1"/>
  <c r="C35" i="9"/>
  <c r="D35" i="9" s="1"/>
  <c r="C34" i="9"/>
  <c r="D34" i="9" s="1"/>
  <c r="C32" i="9"/>
  <c r="D32" i="9" s="1"/>
  <c r="C31" i="9"/>
  <c r="D31" i="9" s="1"/>
  <c r="C30" i="9"/>
  <c r="D30" i="9" s="1"/>
  <c r="C29" i="9"/>
  <c r="D29" i="9" s="1"/>
  <c r="C28" i="9"/>
  <c r="D28" i="9" s="1"/>
  <c r="C27" i="9"/>
  <c r="D27" i="9" s="1"/>
  <c r="C26" i="9"/>
  <c r="D26" i="9" s="1"/>
  <c r="C25" i="9"/>
  <c r="D25" i="9" s="1"/>
  <c r="C24" i="9"/>
  <c r="D24" i="9" s="1"/>
  <c r="C23" i="9"/>
  <c r="D23" i="9" s="1"/>
  <c r="C22" i="9"/>
  <c r="D22" i="9" s="1"/>
  <c r="C21" i="9"/>
  <c r="D21" i="9" s="1"/>
  <c r="C20" i="9"/>
  <c r="D20" i="9" s="1"/>
  <c r="C19" i="9"/>
  <c r="D19" i="9" s="1"/>
  <c r="C18" i="9"/>
  <c r="D18" i="9" s="1"/>
  <c r="C17" i="9"/>
  <c r="D17" i="9" s="1"/>
  <c r="C16" i="9"/>
  <c r="D16" i="9" s="1"/>
  <c r="C15" i="9"/>
  <c r="D15" i="9" s="1"/>
  <c r="C14" i="9"/>
  <c r="D14" i="9" s="1"/>
  <c r="C13" i="9"/>
  <c r="D13" i="9" s="1"/>
  <c r="C11" i="9"/>
  <c r="D11" i="9" s="1"/>
  <c r="C10" i="9"/>
  <c r="D10" i="9" s="1"/>
  <c r="C9" i="9"/>
  <c r="D9" i="9" s="1"/>
  <c r="C8" i="9"/>
  <c r="D8" i="9" s="1"/>
  <c r="C7" i="9"/>
  <c r="D7" i="9" s="1"/>
  <c r="C6" i="9"/>
  <c r="D6" i="9" s="1"/>
  <c r="C5" i="9"/>
  <c r="D5" i="9" s="1"/>
  <c r="C4" i="9"/>
  <c r="D4" i="9" s="1"/>
  <c r="C3" i="9"/>
  <c r="D3" i="9" s="1"/>
  <c r="F38" i="9"/>
  <c r="F37" i="9"/>
  <c r="F36" i="9"/>
  <c r="F35" i="9"/>
  <c r="F34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1" i="9"/>
  <c r="F10" i="9"/>
  <c r="F9" i="9"/>
  <c r="F8" i="9"/>
  <c r="F7" i="9"/>
  <c r="F6" i="9"/>
  <c r="F5" i="9"/>
  <c r="F4" i="9"/>
  <c r="F3" i="9"/>
  <c r="Z75" i="9" s="1"/>
  <c r="Z76" i="9" s="1"/>
  <c r="Z77" i="9" s="1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L38" i="9"/>
  <c r="J38" i="9"/>
  <c r="I38" i="9"/>
  <c r="L37" i="9"/>
  <c r="J37" i="9"/>
  <c r="I37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L36" i="9"/>
  <c r="L35" i="9"/>
  <c r="L34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1" i="9"/>
  <c r="L10" i="9"/>
  <c r="L9" i="9"/>
  <c r="L8" i="9"/>
  <c r="L7" i="9"/>
  <c r="L6" i="9"/>
  <c r="L5" i="9"/>
  <c r="L4" i="9"/>
  <c r="L3" i="9"/>
  <c r="E38" i="9"/>
  <c r="E37" i="9"/>
  <c r="E36" i="9"/>
  <c r="E35" i="9"/>
  <c r="E34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1" i="9"/>
  <c r="E10" i="9"/>
  <c r="E9" i="9"/>
  <c r="E8" i="9"/>
  <c r="E7" i="9"/>
  <c r="E6" i="9"/>
  <c r="E5" i="9"/>
  <c r="E4" i="9"/>
  <c r="E3" i="9"/>
  <c r="U75" i="9" s="1"/>
  <c r="U76" i="9" s="1"/>
  <c r="U77" i="9" s="1"/>
  <c r="J4" i="9"/>
  <c r="J5" i="9"/>
  <c r="J6" i="9"/>
  <c r="J7" i="9"/>
  <c r="J8" i="9"/>
  <c r="J9" i="9"/>
  <c r="J10" i="9"/>
  <c r="J11" i="9"/>
  <c r="J13" i="9"/>
  <c r="J14" i="9"/>
  <c r="J15" i="9"/>
  <c r="J16" i="9"/>
  <c r="J17" i="9"/>
  <c r="J18" i="9"/>
  <c r="J19" i="9"/>
  <c r="J20" i="9"/>
  <c r="I21" i="9"/>
  <c r="J21" i="9"/>
  <c r="I22" i="9"/>
  <c r="J22" i="9"/>
  <c r="I23" i="9"/>
  <c r="J23" i="9"/>
  <c r="I24" i="9"/>
  <c r="J24" i="9"/>
  <c r="I25" i="9"/>
  <c r="J25" i="9"/>
  <c r="I26" i="9"/>
  <c r="J26" i="9"/>
  <c r="I27" i="9"/>
  <c r="J27" i="9"/>
  <c r="I28" i="9"/>
  <c r="J28" i="9"/>
  <c r="I29" i="9"/>
  <c r="J29" i="9"/>
  <c r="I30" i="9"/>
  <c r="J30" i="9"/>
  <c r="I31" i="9"/>
  <c r="J31" i="9"/>
  <c r="I32" i="9"/>
  <c r="J32" i="9"/>
  <c r="I34" i="9"/>
  <c r="J34" i="9"/>
  <c r="I35" i="9"/>
  <c r="J35" i="9"/>
  <c r="I36" i="9"/>
  <c r="J36" i="9"/>
  <c r="J3" i="9"/>
  <c r="A4" i="9"/>
  <c r="B4" i="9"/>
  <c r="A5" i="9"/>
  <c r="B5" i="9"/>
  <c r="A6" i="9"/>
  <c r="B6" i="9"/>
  <c r="A7" i="9"/>
  <c r="B7" i="9"/>
  <c r="A8" i="9"/>
  <c r="B8" i="9"/>
  <c r="A9" i="9"/>
  <c r="B9" i="9"/>
  <c r="A10" i="9"/>
  <c r="B10" i="9"/>
  <c r="A11" i="9"/>
  <c r="B11" i="9"/>
  <c r="A13" i="9"/>
  <c r="B13" i="9"/>
  <c r="A14" i="9"/>
  <c r="B14" i="9"/>
  <c r="A15" i="9"/>
  <c r="B15" i="9"/>
  <c r="A16" i="9"/>
  <c r="B16" i="9"/>
  <c r="A17" i="9"/>
  <c r="B17" i="9"/>
  <c r="A18" i="9"/>
  <c r="B18" i="9"/>
  <c r="A19" i="9"/>
  <c r="B19" i="9"/>
  <c r="A20" i="9"/>
  <c r="B20" i="9"/>
  <c r="A21" i="9"/>
  <c r="B21" i="9"/>
  <c r="A22" i="9"/>
  <c r="B22" i="9"/>
  <c r="A23" i="9"/>
  <c r="B23" i="9"/>
  <c r="A24" i="9"/>
  <c r="B24" i="9"/>
  <c r="A25" i="9"/>
  <c r="B25" i="9"/>
  <c r="A26" i="9"/>
  <c r="B26" i="9"/>
  <c r="A27" i="9"/>
  <c r="B27" i="9"/>
  <c r="A28" i="9"/>
  <c r="B28" i="9"/>
  <c r="A29" i="9"/>
  <c r="B29" i="9"/>
  <c r="A30" i="9"/>
  <c r="B30" i="9"/>
  <c r="A31" i="9"/>
  <c r="B31" i="9"/>
  <c r="A32" i="9"/>
  <c r="B32" i="9"/>
  <c r="A34" i="9"/>
  <c r="B34" i="9"/>
  <c r="A35" i="9"/>
  <c r="B35" i="9"/>
  <c r="A36" i="9"/>
  <c r="B36" i="9"/>
  <c r="A37" i="9"/>
  <c r="B37" i="9"/>
  <c r="A38" i="9"/>
  <c r="B38" i="9"/>
  <c r="B3" i="9"/>
  <c r="A3" i="9"/>
  <c r="F2" i="8"/>
  <c r="E2" i="8"/>
  <c r="E21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3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F101" i="6"/>
  <c r="E101" i="6"/>
  <c r="F100" i="6"/>
  <c r="E100" i="6"/>
  <c r="F99" i="6"/>
  <c r="E99" i="6"/>
  <c r="F98" i="6"/>
  <c r="E98" i="6"/>
  <c r="F97" i="6"/>
  <c r="E97" i="6"/>
  <c r="F96" i="6"/>
  <c r="E96" i="6"/>
  <c r="F95" i="6"/>
  <c r="E95" i="6"/>
  <c r="F94" i="6"/>
  <c r="E94" i="6"/>
  <c r="F93" i="6"/>
  <c r="E93" i="6"/>
  <c r="F92" i="6"/>
  <c r="E92" i="6"/>
  <c r="F91" i="6"/>
  <c r="E91" i="6"/>
  <c r="F90" i="6"/>
  <c r="E90" i="6"/>
  <c r="F89" i="6"/>
  <c r="E89" i="6"/>
  <c r="F88" i="6"/>
  <c r="E88" i="6"/>
  <c r="F87" i="6"/>
  <c r="E87" i="6"/>
  <c r="F86" i="6"/>
  <c r="E86" i="6"/>
  <c r="F85" i="6"/>
  <c r="E85" i="6"/>
  <c r="F84" i="6"/>
  <c r="E84" i="6"/>
  <c r="F83" i="6"/>
  <c r="E83" i="6"/>
  <c r="F82" i="6"/>
  <c r="E82" i="6"/>
  <c r="F81" i="6"/>
  <c r="E81" i="6"/>
  <c r="F80" i="6"/>
  <c r="E80" i="6"/>
  <c r="F79" i="6"/>
  <c r="E79" i="6"/>
  <c r="F78" i="6"/>
  <c r="E78" i="6"/>
  <c r="F77" i="6"/>
  <c r="E77" i="6"/>
  <c r="F76" i="6"/>
  <c r="E76" i="6"/>
  <c r="F75" i="6"/>
  <c r="E75" i="6"/>
  <c r="F74" i="6"/>
  <c r="E74" i="6"/>
  <c r="F73" i="6"/>
  <c r="E73" i="6"/>
  <c r="F72" i="6"/>
  <c r="E72" i="6"/>
  <c r="F71" i="6"/>
  <c r="E71" i="6"/>
  <c r="F70" i="6"/>
  <c r="E70" i="6"/>
  <c r="F69" i="6"/>
  <c r="E69" i="6"/>
  <c r="F68" i="6"/>
  <c r="E68" i="6"/>
  <c r="F67" i="6"/>
  <c r="E67" i="6"/>
  <c r="F66" i="6"/>
  <c r="E66" i="6"/>
  <c r="F65" i="6"/>
  <c r="E65" i="6"/>
  <c r="F64" i="6"/>
  <c r="E64" i="6"/>
  <c r="F63" i="6"/>
  <c r="E63" i="6"/>
  <c r="F62" i="6"/>
  <c r="E62" i="6"/>
  <c r="F61" i="6"/>
  <c r="E61" i="6"/>
  <c r="F60" i="6"/>
  <c r="E60" i="6"/>
  <c r="F59" i="6"/>
  <c r="E59" i="6"/>
  <c r="F58" i="6"/>
  <c r="E58" i="6"/>
  <c r="D101" i="6"/>
  <c r="B101" i="6"/>
  <c r="A101" i="6"/>
  <c r="D100" i="6"/>
  <c r="B100" i="6"/>
  <c r="A100" i="6"/>
  <c r="D99" i="6"/>
  <c r="B99" i="6"/>
  <c r="A99" i="6"/>
  <c r="D98" i="6"/>
  <c r="B98" i="6"/>
  <c r="A98" i="6"/>
  <c r="D97" i="6"/>
  <c r="B97" i="6"/>
  <c r="A97" i="6"/>
  <c r="D96" i="6"/>
  <c r="B96" i="6"/>
  <c r="A96" i="6"/>
  <c r="D95" i="6"/>
  <c r="B95" i="6"/>
  <c r="A95" i="6"/>
  <c r="D94" i="6"/>
  <c r="B94" i="6"/>
  <c r="A94" i="6"/>
  <c r="D93" i="6"/>
  <c r="B93" i="6"/>
  <c r="A93" i="6"/>
  <c r="D92" i="6"/>
  <c r="B92" i="6"/>
  <c r="A92" i="6"/>
  <c r="D91" i="6"/>
  <c r="B91" i="6"/>
  <c r="A91" i="6"/>
  <c r="D90" i="6"/>
  <c r="B90" i="6"/>
  <c r="A90" i="6"/>
  <c r="D89" i="6"/>
  <c r="B89" i="6"/>
  <c r="A89" i="6"/>
  <c r="D88" i="6"/>
  <c r="B88" i="6"/>
  <c r="A88" i="6"/>
  <c r="D87" i="6"/>
  <c r="B87" i="6"/>
  <c r="A87" i="6"/>
  <c r="D86" i="6"/>
  <c r="B86" i="6"/>
  <c r="A86" i="6"/>
  <c r="D85" i="6"/>
  <c r="B85" i="6"/>
  <c r="A85" i="6"/>
  <c r="D84" i="6"/>
  <c r="B84" i="6"/>
  <c r="A84" i="6"/>
  <c r="D83" i="6"/>
  <c r="B83" i="6"/>
  <c r="A83" i="6"/>
  <c r="D82" i="6"/>
  <c r="B82" i="6"/>
  <c r="A82" i="6"/>
  <c r="D81" i="6"/>
  <c r="B81" i="6"/>
  <c r="A81" i="6"/>
  <c r="D80" i="6"/>
  <c r="B80" i="6"/>
  <c r="A80" i="6"/>
  <c r="D79" i="6"/>
  <c r="B79" i="6"/>
  <c r="A79" i="6"/>
  <c r="D78" i="6"/>
  <c r="B78" i="6"/>
  <c r="A78" i="6"/>
  <c r="D77" i="6"/>
  <c r="B77" i="6"/>
  <c r="A77" i="6"/>
  <c r="D76" i="6"/>
  <c r="B76" i="6"/>
  <c r="A76" i="6"/>
  <c r="D75" i="6"/>
  <c r="B75" i="6"/>
  <c r="A75" i="6"/>
  <c r="D74" i="6"/>
  <c r="B74" i="6"/>
  <c r="A74" i="6"/>
  <c r="D73" i="6"/>
  <c r="B73" i="6"/>
  <c r="A73" i="6"/>
  <c r="D72" i="6"/>
  <c r="B72" i="6"/>
  <c r="A72" i="6"/>
  <c r="D71" i="6"/>
  <c r="B71" i="6"/>
  <c r="A71" i="6"/>
  <c r="D70" i="6"/>
  <c r="B70" i="6"/>
  <c r="A70" i="6"/>
  <c r="D69" i="6"/>
  <c r="B69" i="6"/>
  <c r="A69" i="6"/>
  <c r="D68" i="6"/>
  <c r="B68" i="6"/>
  <c r="A68" i="6"/>
  <c r="D67" i="6"/>
  <c r="B67" i="6"/>
  <c r="A67" i="6"/>
  <c r="D66" i="6"/>
  <c r="B66" i="6"/>
  <c r="A66" i="6"/>
  <c r="D65" i="6"/>
  <c r="B65" i="6"/>
  <c r="A65" i="6"/>
  <c r="D64" i="6"/>
  <c r="B64" i="6"/>
  <c r="A64" i="6"/>
  <c r="D63" i="6"/>
  <c r="B63" i="6"/>
  <c r="A63" i="6"/>
  <c r="D62" i="6"/>
  <c r="B62" i="6"/>
  <c r="A62" i="6"/>
  <c r="D61" i="6"/>
  <c r="B61" i="6"/>
  <c r="A61" i="6"/>
  <c r="D60" i="6"/>
  <c r="B60" i="6"/>
  <c r="A60" i="6"/>
  <c r="D59" i="6"/>
  <c r="B59" i="6"/>
  <c r="A59" i="6"/>
  <c r="D58" i="6"/>
  <c r="B58" i="6"/>
  <c r="A58" i="6"/>
  <c r="F31" i="6"/>
  <c r="F30" i="6"/>
  <c r="F29" i="6"/>
  <c r="F28" i="6"/>
  <c r="F27" i="6"/>
  <c r="F26" i="6"/>
  <c r="F25" i="6"/>
  <c r="F24" i="6"/>
  <c r="E31" i="6"/>
  <c r="E30" i="6"/>
  <c r="E29" i="6"/>
  <c r="E28" i="6"/>
  <c r="E27" i="6"/>
  <c r="E26" i="6"/>
  <c r="E25" i="6"/>
  <c r="E24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E23" i="6"/>
  <c r="E22" i="6"/>
  <c r="E21" i="6"/>
  <c r="E20" i="6"/>
  <c r="E19" i="6"/>
  <c r="E18" i="6"/>
  <c r="E17" i="6"/>
  <c r="E16" i="6"/>
  <c r="E15" i="6"/>
  <c r="E14" i="6"/>
  <c r="E13" i="6"/>
  <c r="E9" i="6"/>
  <c r="E8" i="6"/>
  <c r="E7" i="6"/>
  <c r="E6" i="6"/>
  <c r="E5" i="6"/>
  <c r="E4" i="6"/>
  <c r="D23" i="6"/>
  <c r="B23" i="6"/>
  <c r="A23" i="6"/>
  <c r="D22" i="6"/>
  <c r="B22" i="6"/>
  <c r="A22" i="6"/>
  <c r="D21" i="6"/>
  <c r="B21" i="6"/>
  <c r="A21" i="6"/>
  <c r="D20" i="6"/>
  <c r="B20" i="6"/>
  <c r="A20" i="6"/>
  <c r="D19" i="6"/>
  <c r="B19" i="6"/>
  <c r="A19" i="6"/>
  <c r="D18" i="6"/>
  <c r="B18" i="6"/>
  <c r="A18" i="6"/>
  <c r="D17" i="6"/>
  <c r="B17" i="6"/>
  <c r="A17" i="6"/>
  <c r="D16" i="6"/>
  <c r="B16" i="6"/>
  <c r="A16" i="6"/>
  <c r="D15" i="6"/>
  <c r="B15" i="6"/>
  <c r="A15" i="6"/>
  <c r="D14" i="6"/>
  <c r="B14" i="6"/>
  <c r="A14" i="6"/>
  <c r="D13" i="6"/>
  <c r="B13" i="6"/>
  <c r="A13" i="6"/>
  <c r="D12" i="6"/>
  <c r="B12" i="6"/>
  <c r="A12" i="6"/>
  <c r="D11" i="6"/>
  <c r="B11" i="6"/>
  <c r="A11" i="6"/>
  <c r="D10" i="6"/>
  <c r="B10" i="6"/>
  <c r="A10" i="6"/>
  <c r="D9" i="6"/>
  <c r="B9" i="6"/>
  <c r="A9" i="6"/>
  <c r="D8" i="6"/>
  <c r="B8" i="6"/>
  <c r="A8" i="6"/>
  <c r="D7" i="6"/>
  <c r="B7" i="6"/>
  <c r="A7" i="6"/>
  <c r="D6" i="6"/>
  <c r="B6" i="6"/>
  <c r="A6" i="6"/>
  <c r="D5" i="6"/>
  <c r="B5" i="6"/>
  <c r="A5" i="6"/>
  <c r="D4" i="6"/>
  <c r="B4" i="6"/>
  <c r="A4" i="6"/>
  <c r="E3" i="6"/>
  <c r="D3" i="6"/>
  <c r="B3" i="6"/>
  <c r="A3" i="6"/>
  <c r="E67" i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I17" i="2"/>
  <c r="J17" i="2" s="1"/>
  <c r="I18" i="2"/>
  <c r="J18" i="2" s="1"/>
  <c r="I19" i="2"/>
  <c r="J19" i="2" s="1"/>
  <c r="G19" i="2"/>
  <c r="E15" i="8" s="1"/>
  <c r="I27" i="2"/>
  <c r="J27" i="2" s="1"/>
  <c r="I26" i="2"/>
  <c r="J26" i="2" s="1"/>
  <c r="I25" i="2"/>
  <c r="G25" i="2"/>
  <c r="J25" i="2"/>
  <c r="I24" i="2"/>
  <c r="J24" i="2" s="1"/>
  <c r="I23" i="2"/>
  <c r="I22" i="2"/>
  <c r="I21" i="2"/>
  <c r="J21" i="2" s="1"/>
  <c r="G21" i="2"/>
  <c r="H21" i="2" s="1"/>
  <c r="I20" i="2"/>
  <c r="H19" i="2"/>
  <c r="G17" i="2"/>
  <c r="H17" i="2" s="1"/>
  <c r="G27" i="2"/>
  <c r="E23" i="8" s="1"/>
  <c r="H27" i="2"/>
  <c r="G26" i="2"/>
  <c r="E22" i="8" s="1"/>
  <c r="H26" i="2"/>
  <c r="H25" i="2"/>
  <c r="G24" i="2"/>
  <c r="E20" i="8" s="1"/>
  <c r="H24" i="2"/>
  <c r="G23" i="2"/>
  <c r="E19" i="8" s="1"/>
  <c r="G22" i="2"/>
  <c r="H22" i="2" s="1"/>
  <c r="G20" i="2"/>
  <c r="H20" i="2" s="1"/>
  <c r="G18" i="2"/>
  <c r="H18" i="2" s="1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I13" i="2"/>
  <c r="I12" i="2"/>
  <c r="I11" i="2"/>
  <c r="I10" i="2"/>
  <c r="J10" i="2" s="1"/>
  <c r="G10" i="2"/>
  <c r="E9" i="8" s="1"/>
  <c r="I9" i="2"/>
  <c r="J9" i="2" s="1"/>
  <c r="G9" i="2"/>
  <c r="E8" i="8" s="1"/>
  <c r="I8" i="2"/>
  <c r="G8" i="2"/>
  <c r="H8" i="2" s="1"/>
  <c r="F7" i="8" s="1"/>
  <c r="I7" i="2"/>
  <c r="G7" i="2"/>
  <c r="E6" i="8" s="1"/>
  <c r="J7" i="2"/>
  <c r="I6" i="2"/>
  <c r="J6" i="2" s="1"/>
  <c r="G6" i="2"/>
  <c r="E5" i="8" s="1"/>
  <c r="I5" i="2"/>
  <c r="J5" i="2" s="1"/>
  <c r="G5" i="2"/>
  <c r="E4" i="8" s="1"/>
  <c r="I4" i="2"/>
  <c r="G4" i="2"/>
  <c r="H4" i="2" s="1"/>
  <c r="F3" i="8" s="1"/>
  <c r="H10" i="2"/>
  <c r="F9" i="8" s="1"/>
  <c r="H7" i="2"/>
  <c r="F6" i="8" s="1"/>
  <c r="H6" i="2"/>
  <c r="F5" i="8" s="1"/>
  <c r="X3" i="2"/>
  <c r="W3" i="2"/>
  <c r="V3" i="2"/>
  <c r="U3" i="2"/>
  <c r="T3" i="2"/>
  <c r="S3" i="2"/>
  <c r="R3" i="2"/>
  <c r="Q3" i="2"/>
  <c r="P3" i="2"/>
  <c r="O3" i="2"/>
  <c r="N3" i="2"/>
  <c r="U17" i="9"/>
  <c r="U18" i="9" s="1"/>
  <c r="U19" i="9" s="1"/>
  <c r="U36" i="9"/>
  <c r="U37" i="9" s="1"/>
  <c r="U38" i="9" s="1"/>
  <c r="P17" i="9" l="1"/>
  <c r="Q55" i="9"/>
  <c r="Q56" i="9" s="1"/>
  <c r="Q57" i="9" s="1"/>
  <c r="P55" i="9"/>
  <c r="P56" i="9" s="1"/>
  <c r="P57" i="9" s="1"/>
  <c r="Q36" i="9"/>
  <c r="Q37" i="9" s="1"/>
  <c r="Q38" i="9" s="1"/>
  <c r="P18" i="9"/>
  <c r="P19" i="9" s="1"/>
  <c r="P36" i="9"/>
  <c r="P37" i="9" s="1"/>
  <c r="P38" i="9" s="1"/>
  <c r="J4" i="2"/>
  <c r="J8" i="2"/>
  <c r="J20" i="2"/>
  <c r="J22" i="2"/>
  <c r="E18" i="8"/>
  <c r="E14" i="8"/>
  <c r="E7" i="8"/>
  <c r="E3" i="8"/>
  <c r="E17" i="8"/>
  <c r="E13" i="8"/>
  <c r="H23" i="2"/>
  <c r="E16" i="8"/>
  <c r="H5" i="2"/>
  <c r="F4" i="8" s="1"/>
  <c r="H9" i="2"/>
  <c r="F8" i="8" s="1"/>
  <c r="J23" i="2"/>
  <c r="O3" i="8" l="1"/>
  <c r="O4" i="8" s="1"/>
  <c r="O5" i="8" s="1"/>
</calcChain>
</file>

<file path=xl/sharedStrings.xml><?xml version="1.0" encoding="utf-8"?>
<sst xmlns="http://schemas.openxmlformats.org/spreadsheetml/2006/main" count="498" uniqueCount="101">
  <si>
    <t>Study</t>
  </si>
  <si>
    <t>Animal</t>
  </si>
  <si>
    <t>13-03</t>
  </si>
  <si>
    <t>156-08</t>
  </si>
  <si>
    <t>166-08</t>
  </si>
  <si>
    <t>280-09</t>
  </si>
  <si>
    <t>310-09</t>
  </si>
  <si>
    <t>205-08</t>
  </si>
  <si>
    <t>267-08</t>
  </si>
  <si>
    <t>105-09</t>
  </si>
  <si>
    <t>Treatment</t>
  </si>
  <si>
    <t>Study Wk</t>
  </si>
  <si>
    <t xml:space="preserve">LNMC	</t>
  </si>
  <si>
    <t>GMMC</t>
  </si>
  <si>
    <t>PBMC</t>
  </si>
  <si>
    <t>14-02</t>
  </si>
  <si>
    <t>280-10</t>
  </si>
  <si>
    <t>288-10</t>
  </si>
  <si>
    <t>344-10</t>
  </si>
  <si>
    <t>293-09</t>
  </si>
  <si>
    <t>295-10</t>
  </si>
  <si>
    <t>304-10</t>
  </si>
  <si>
    <t>177-10</t>
  </si>
  <si>
    <t>341-10</t>
  </si>
  <si>
    <t>412-10</t>
  </si>
  <si>
    <t>162-09</t>
  </si>
  <si>
    <t>305-10</t>
  </si>
  <si>
    <t>234-09</t>
  </si>
  <si>
    <t>322-09</t>
  </si>
  <si>
    <t>374-09</t>
  </si>
  <si>
    <t>Time (DPI)</t>
  </si>
  <si>
    <t>Time (DPATI)</t>
  </si>
  <si>
    <t xml:space="preserve">Rebound Nadir CD4 </t>
  </si>
  <si>
    <t>Rebound Rel Nadir CD4</t>
  </si>
  <si>
    <t>Rebound Initial CD4</t>
  </si>
  <si>
    <t>Initial CD4</t>
  </si>
  <si>
    <t>Rebound Rel Initial CD4</t>
  </si>
  <si>
    <t>LNMC</t>
  </si>
  <si>
    <t>TLR7</t>
  </si>
  <si>
    <t>SIV DNA Sorted CD4+ memory T cells (10^6) before ART stop</t>
  </si>
  <si>
    <t>SIV DNA (10^6) before ART stop</t>
  </si>
  <si>
    <t>Gag</t>
  </si>
  <si>
    <t>Env</t>
  </si>
  <si>
    <t>Pol</t>
  </si>
  <si>
    <t>Total</t>
  </si>
  <si>
    <t>CD8</t>
  </si>
  <si>
    <t>CD4</t>
  </si>
  <si>
    <t>Cellular immune breadth (# peptide subpools giving IFN-g+ ELISOPT)</t>
  </si>
  <si>
    <t>Vac</t>
  </si>
  <si>
    <t>Vac+TLR7</t>
  </si>
  <si>
    <t>Control</t>
  </si>
  <si>
    <t>Ab</t>
  </si>
  <si>
    <t>TLR7+Ab</t>
  </si>
  <si>
    <t xml:space="preserve">TLR7 </t>
  </si>
  <si>
    <t xml:space="preserve">TLR7  </t>
  </si>
  <si>
    <t>SAEM</t>
  </si>
  <si>
    <t>mean</t>
  </si>
  <si>
    <t>mode</t>
  </si>
  <si>
    <t>std</t>
  </si>
  <si>
    <t>intTLR7study</t>
  </si>
  <si>
    <t>intTLR7Vac</t>
  </si>
  <si>
    <t>B</t>
  </si>
  <si>
    <t>L</t>
  </si>
  <si>
    <t>Np</t>
  </si>
  <si>
    <t>m</t>
  </si>
  <si>
    <t>p</t>
  </si>
  <si>
    <t>ta</t>
  </si>
  <si>
    <t>ID</t>
  </si>
  <si>
    <t>Study Code</t>
  </si>
  <si>
    <t>*Time of peak immunity</t>
  </si>
  <si>
    <t>*Time of ART stop</t>
  </si>
  <si>
    <t>*After vaccination</t>
  </si>
  <si>
    <t>% Gag IFN-gamma+</t>
  </si>
  <si>
    <t>Animal ID</t>
  </si>
  <si>
    <t>intTLR7Ab</t>
  </si>
  <si>
    <t>ta_mode</t>
  </si>
  <si>
    <t>SIV DNA PBMC</t>
  </si>
  <si>
    <t>SIV DNA LNMC</t>
  </si>
  <si>
    <t>SIV DNA GMMC</t>
  </si>
  <si>
    <t>Spearman correlation:</t>
  </si>
  <si>
    <t>P value</t>
  </si>
  <si>
    <t xml:space="preserve"> </t>
  </si>
  <si>
    <t>ta_mean</t>
  </si>
  <si>
    <t>L_mean</t>
  </si>
  <si>
    <t>L_mode</t>
  </si>
  <si>
    <t>Correlation</t>
  </si>
  <si>
    <t>T</t>
  </si>
  <si>
    <t>p value</t>
  </si>
  <si>
    <t>NP_mode</t>
  </si>
  <si>
    <t>Total breadth peak</t>
  </si>
  <si>
    <t>Total breadth ART stop</t>
  </si>
  <si>
    <t>m_mode</t>
  </si>
  <si>
    <t>CD8+ % IFN-gamma</t>
  </si>
  <si>
    <t>Treatments</t>
  </si>
  <si>
    <t>p_mode</t>
  </si>
  <si>
    <t>Log10(Np)</t>
  </si>
  <si>
    <t>Gag breadth ART stop</t>
  </si>
  <si>
    <t>Controls only</t>
  </si>
  <si>
    <t>Activated (CD69+) CD4 at ART stop</t>
  </si>
  <si>
    <t>Pearson correlation</t>
  </si>
  <si>
    <t>Log10(CD8)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</si>
</sst>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8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u/>
      <sz val="12"/>
      <color theme="10"/>
      <name val="Arial"/>
      <family val="2"/>
      <scheme val="minor"/>
    </font>
    <font>
      <u/>
      <sz val="12"/>
      <color theme="1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name val="Arial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Font="1" applyBorder="1" applyAlignment="1">
      <alignment horizontal="center" vertical="center" wrapText="1"/>
    </xf>
    <xf numFmtId="1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 wrapText="1"/>
    </xf>
    <xf numFmtId="9" fontId="0" fillId="0" borderId="0" xfId="1" applyNumberFormat="1" applyFont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11" fontId="0" fillId="0" borderId="0" xfId="0" applyNumberFormat="1"/>
    <xf numFmtId="0" fontId="2" fillId="0" borderId="0" xfId="0" applyFont="1"/>
    <xf numFmtId="1" fontId="0" fillId="0" borderId="0" xfId="0" applyNumberFormat="1"/>
    <xf numFmtId="9" fontId="0" fillId="0" borderId="0" xfId="1" applyFont="1"/>
    <xf numFmtId="0" fontId="0" fillId="0" borderId="0" xfId="0" applyFont="1"/>
    <xf numFmtId="0" fontId="5" fillId="0" borderId="0" xfId="0" applyFont="1"/>
    <xf numFmtId="0" fontId="7" fillId="0" borderId="0" xfId="0" applyFont="1" applyBorder="1" applyAlignment="1">
      <alignment horizontal="center" vertical="center"/>
    </xf>
    <xf numFmtId="0" fontId="0" fillId="0" borderId="0" xfId="1" applyNumberFormat="1" applyFont="1"/>
    <xf numFmtId="2" fontId="0" fillId="0" borderId="0" xfId="0" applyNumberFormat="1"/>
    <xf numFmtId="2" fontId="2" fillId="0" borderId="0" xfId="0" applyNumberFormat="1" applyFont="1"/>
    <xf numFmtId="2" fontId="0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164" fontId="0" fillId="0" borderId="0" xfId="0" applyNumberFormat="1" applyFont="1"/>
    <xf numFmtId="0" fontId="2" fillId="0" borderId="0" xfId="0" applyFont="1" applyBorder="1" applyAlignment="1">
      <alignment horizontal="center"/>
    </xf>
    <xf numFmtId="1" fontId="2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1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PBMC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77264205610701"/>
          <c:y val="0.178222222222222"/>
          <c:w val="0.61182363568190301"/>
          <c:h val="0.62055573053368296"/>
        </c:manualLayout>
      </c:layout>
      <c:scatterChart>
        <c:scatterStyle val="lineMarker"/>
        <c:varyColors val="0"/>
        <c:ser>
          <c:idx val="0"/>
          <c:order val="0"/>
          <c:tx>
            <c:v>Study 1</c:v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'Individual Parameters 1 2'!$Y$3:$Y$23</c:f>
              <c:numCache>
                <c:formatCode>General</c:formatCode>
                <c:ptCount val="21"/>
                <c:pt idx="0">
                  <c:v>1.76397</c:v>
                </c:pt>
                <c:pt idx="1">
                  <c:v>1.5875600000000001</c:v>
                </c:pt>
                <c:pt idx="2">
                  <c:v>1.5081599999999999</c:v>
                </c:pt>
                <c:pt idx="3">
                  <c:v>1.5199199999999999</c:v>
                </c:pt>
                <c:pt idx="4">
                  <c:v>0.78783800000000004</c:v>
                </c:pt>
                <c:pt idx="5">
                  <c:v>9.2952400000000004E-2</c:v>
                </c:pt>
                <c:pt idx="6">
                  <c:v>0.72390100000000002</c:v>
                </c:pt>
                <c:pt idx="7">
                  <c:v>1.23952</c:v>
                </c:pt>
                <c:pt idx="8">
                  <c:v>0.11718000000000001</c:v>
                </c:pt>
                <c:pt idx="9">
                  <c:v>0.14475199999999999</c:v>
                </c:pt>
                <c:pt idx="10">
                  <c:v>1.1935100000000001</c:v>
                </c:pt>
                <c:pt idx="11">
                  <c:v>0.40154699999999999</c:v>
                </c:pt>
                <c:pt idx="12">
                  <c:v>1.3955200000000001</c:v>
                </c:pt>
                <c:pt idx="13">
                  <c:v>1.3443400000000001</c:v>
                </c:pt>
                <c:pt idx="14">
                  <c:v>36.245199999999997</c:v>
                </c:pt>
                <c:pt idx="15">
                  <c:v>3.1676299999999999</c:v>
                </c:pt>
                <c:pt idx="16">
                  <c:v>1.29281</c:v>
                </c:pt>
                <c:pt idx="17">
                  <c:v>1.13123</c:v>
                </c:pt>
                <c:pt idx="18">
                  <c:v>29.169499999999999</c:v>
                </c:pt>
                <c:pt idx="19">
                  <c:v>1.89706</c:v>
                </c:pt>
                <c:pt idx="20">
                  <c:v>1.3083</c:v>
                </c:pt>
              </c:numCache>
            </c:numRef>
          </c:xVal>
          <c:yVal>
            <c:numRef>
              <c:f>'SIV DNA'!$H$3:$H$23</c:f>
              <c:numCache>
                <c:formatCode>0</c:formatCode>
                <c:ptCount val="21"/>
                <c:pt idx="0">
                  <c:v>650.4</c:v>
                </c:pt>
                <c:pt idx="1">
                  <c:v>1050.5</c:v>
                </c:pt>
                <c:pt idx="2">
                  <c:v>1586.4</c:v>
                </c:pt>
                <c:pt idx="3">
                  <c:v>1163.3</c:v>
                </c:pt>
                <c:pt idx="4">
                  <c:v>1003.2</c:v>
                </c:pt>
                <c:pt idx="5">
                  <c:v>2506.2080000000001</c:v>
                </c:pt>
                <c:pt idx="6">
                  <c:v>1290.8</c:v>
                </c:pt>
                <c:pt idx="10">
                  <c:v>896</c:v>
                </c:pt>
                <c:pt idx="11">
                  <c:v>1185</c:v>
                </c:pt>
                <c:pt idx="12">
                  <c:v>324</c:v>
                </c:pt>
                <c:pt idx="13">
                  <c:v>204</c:v>
                </c:pt>
                <c:pt idx="14">
                  <c:v>3</c:v>
                </c:pt>
                <c:pt idx="15">
                  <c:v>1389</c:v>
                </c:pt>
                <c:pt idx="16">
                  <c:v>329</c:v>
                </c:pt>
                <c:pt idx="17">
                  <c:v>608</c:v>
                </c:pt>
                <c:pt idx="18">
                  <c:v>9</c:v>
                </c:pt>
                <c:pt idx="19">
                  <c:v>71</c:v>
                </c:pt>
                <c:pt idx="20">
                  <c:v>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7B-B940-A44D-19DE310BB2A9}"/>
            </c:ext>
          </c:extLst>
        </c:ser>
        <c:ser>
          <c:idx val="1"/>
          <c:order val="1"/>
          <c:tx>
            <c:v>Study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'Individual Parameters 1 2'!$Y$24:$Y$57</c:f>
              <c:numCache>
                <c:formatCode>General</c:formatCode>
                <c:ptCount val="34"/>
                <c:pt idx="0">
                  <c:v>0.68652500000000005</c:v>
                </c:pt>
                <c:pt idx="1">
                  <c:v>0.195079</c:v>
                </c:pt>
                <c:pt idx="2">
                  <c:v>0.23528099999999999</c:v>
                </c:pt>
                <c:pt idx="3">
                  <c:v>0.26503199999999999</c:v>
                </c:pt>
                <c:pt idx="4">
                  <c:v>0.65491699999999997</c:v>
                </c:pt>
                <c:pt idx="5">
                  <c:v>0.519096</c:v>
                </c:pt>
                <c:pt idx="6">
                  <c:v>0.359184</c:v>
                </c:pt>
                <c:pt idx="7">
                  <c:v>0.68638100000000002</c:v>
                </c:pt>
                <c:pt idx="8">
                  <c:v>0.33810699999999999</c:v>
                </c:pt>
                <c:pt idx="9">
                  <c:v>0.40892000000000001</c:v>
                </c:pt>
                <c:pt idx="10">
                  <c:v>0.770262</c:v>
                </c:pt>
                <c:pt idx="11">
                  <c:v>0.27193200000000001</c:v>
                </c:pt>
                <c:pt idx="12">
                  <c:v>0.386822</c:v>
                </c:pt>
                <c:pt idx="13">
                  <c:v>0.30949500000000002</c:v>
                </c:pt>
                <c:pt idx="14">
                  <c:v>0.56413199999999997</c:v>
                </c:pt>
                <c:pt idx="15">
                  <c:v>0.22791</c:v>
                </c:pt>
                <c:pt idx="16">
                  <c:v>0.203599</c:v>
                </c:pt>
                <c:pt idx="17">
                  <c:v>1.37087</c:v>
                </c:pt>
                <c:pt idx="18">
                  <c:v>0.96917900000000001</c:v>
                </c:pt>
                <c:pt idx="19">
                  <c:v>0.88795100000000005</c:v>
                </c:pt>
                <c:pt idx="20">
                  <c:v>0.89555200000000001</c:v>
                </c:pt>
                <c:pt idx="21">
                  <c:v>1.4915</c:v>
                </c:pt>
                <c:pt idx="22">
                  <c:v>0.48307099999999997</c:v>
                </c:pt>
                <c:pt idx="23">
                  <c:v>2.0175700000000001</c:v>
                </c:pt>
                <c:pt idx="24">
                  <c:v>0.85127299999999995</c:v>
                </c:pt>
                <c:pt idx="25">
                  <c:v>1.16354</c:v>
                </c:pt>
                <c:pt idx="26">
                  <c:v>3.24709</c:v>
                </c:pt>
                <c:pt idx="27">
                  <c:v>0.82167599999999996</c:v>
                </c:pt>
                <c:pt idx="28">
                  <c:v>0.86501099999999997</c:v>
                </c:pt>
                <c:pt idx="29">
                  <c:v>0.76663400000000004</c:v>
                </c:pt>
                <c:pt idx="30">
                  <c:v>1.5221</c:v>
                </c:pt>
                <c:pt idx="31">
                  <c:v>3.4613499999999999</c:v>
                </c:pt>
                <c:pt idx="32">
                  <c:v>2.9060600000000001</c:v>
                </c:pt>
                <c:pt idx="33">
                  <c:v>4.8145199999999999</c:v>
                </c:pt>
              </c:numCache>
            </c:numRef>
          </c:xVal>
          <c:yVal>
            <c:numRef>
              <c:f>'SIV DNA'!$G$27:$G$62</c:f>
              <c:numCache>
                <c:formatCode>0</c:formatCode>
                <c:ptCount val="36"/>
                <c:pt idx="0">
                  <c:v>3.0199517204020165</c:v>
                </c:pt>
                <c:pt idx="1">
                  <c:v>575.43993733715706</c:v>
                </c:pt>
                <c:pt idx="2">
                  <c:v>3.0199517204020165</c:v>
                </c:pt>
                <c:pt idx="3">
                  <c:v>223.87211385683412</c:v>
                </c:pt>
                <c:pt idx="4">
                  <c:v>3.0199517204020165</c:v>
                </c:pt>
                <c:pt idx="5">
                  <c:v>112.20184543019634</c:v>
                </c:pt>
                <c:pt idx="6">
                  <c:v>123.02687708123821</c:v>
                </c:pt>
                <c:pt idx="7">
                  <c:v>114.81536214968835</c:v>
                </c:pt>
                <c:pt idx="8">
                  <c:v>154.8816618912482</c:v>
                </c:pt>
                <c:pt idx="10">
                  <c:v>3.0199517204020165</c:v>
                </c:pt>
                <c:pt idx="11">
                  <c:v>181.9700858609983</c:v>
                </c:pt>
                <c:pt idx="12">
                  <c:v>3.0199517204020165</c:v>
                </c:pt>
                <c:pt idx="13">
                  <c:v>3.0199517204020165</c:v>
                </c:pt>
                <c:pt idx="14">
                  <c:v>3.0199517204020165</c:v>
                </c:pt>
                <c:pt idx="15">
                  <c:v>891.25093813374656</c:v>
                </c:pt>
                <c:pt idx="16">
                  <c:v>407.38027780411272</c:v>
                </c:pt>
                <c:pt idx="17">
                  <c:v>162.18100973589304</c:v>
                </c:pt>
                <c:pt idx="18">
                  <c:v>3.0199517204020165</c:v>
                </c:pt>
                <c:pt idx="19">
                  <c:v>3.0199517204020165</c:v>
                </c:pt>
                <c:pt idx="20">
                  <c:v>3.0199517204020165</c:v>
                </c:pt>
                <c:pt idx="21">
                  <c:v>3.0199517204020165</c:v>
                </c:pt>
                <c:pt idx="22">
                  <c:v>3.0199517204020165</c:v>
                </c:pt>
                <c:pt idx="23">
                  <c:v>3.0199517204020165</c:v>
                </c:pt>
                <c:pt idx="24">
                  <c:v>3.0199517204020165</c:v>
                </c:pt>
                <c:pt idx="25">
                  <c:v>3.0199517204020165</c:v>
                </c:pt>
                <c:pt idx="26">
                  <c:v>3.0199517204020165</c:v>
                </c:pt>
                <c:pt idx="27">
                  <c:v>3.0199517204020165</c:v>
                </c:pt>
                <c:pt idx="28">
                  <c:v>3.0199517204020165</c:v>
                </c:pt>
                <c:pt idx="29">
                  <c:v>3.0199517204020165</c:v>
                </c:pt>
                <c:pt idx="31">
                  <c:v>181.9700858609983</c:v>
                </c:pt>
                <c:pt idx="32">
                  <c:v>3.0199517204020165</c:v>
                </c:pt>
                <c:pt idx="33">
                  <c:v>3.0199517204020165</c:v>
                </c:pt>
                <c:pt idx="34">
                  <c:v>81.283051616409963</c:v>
                </c:pt>
                <c:pt idx="35">
                  <c:v>3.0199517204020165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7B-B940-A44D-19DE310BB2A9}"/>
            </c:ext>
          </c:extLst>
        </c:ser>
        <c:ser>
          <c:idx val="2"/>
          <c:order val="2"/>
          <c:tx>
            <c:v>Study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'Individual Parameters S3'!$Y$3:$Y$46</c:f>
              <c:numCache>
                <c:formatCode>General</c:formatCode>
                <c:ptCount val="44"/>
                <c:pt idx="0">
                  <c:v>2.6995100000000001</c:v>
                </c:pt>
                <c:pt idx="1">
                  <c:v>7.0415799999999997</c:v>
                </c:pt>
                <c:pt idx="2">
                  <c:v>2.7211599999999998</c:v>
                </c:pt>
                <c:pt idx="3">
                  <c:v>2.9990600000000001</c:v>
                </c:pt>
                <c:pt idx="4">
                  <c:v>8.4944799999999994</c:v>
                </c:pt>
                <c:pt idx="5">
                  <c:v>1.6569199999999999</c:v>
                </c:pt>
                <c:pt idx="6">
                  <c:v>11.722</c:v>
                </c:pt>
                <c:pt idx="7">
                  <c:v>4.33169</c:v>
                </c:pt>
                <c:pt idx="8">
                  <c:v>2.6133000000000002</c:v>
                </c:pt>
                <c:pt idx="9">
                  <c:v>1.7226300000000001</c:v>
                </c:pt>
                <c:pt idx="10">
                  <c:v>12.0405</c:v>
                </c:pt>
                <c:pt idx="11">
                  <c:v>2.6290300000000002</c:v>
                </c:pt>
                <c:pt idx="12">
                  <c:v>6.4189699999999998</c:v>
                </c:pt>
                <c:pt idx="13">
                  <c:v>2.59755</c:v>
                </c:pt>
                <c:pt idx="14">
                  <c:v>1.7645200000000001</c:v>
                </c:pt>
                <c:pt idx="15">
                  <c:v>10.2849</c:v>
                </c:pt>
                <c:pt idx="16">
                  <c:v>6.4002100000000004</c:v>
                </c:pt>
                <c:pt idx="17">
                  <c:v>3.27373</c:v>
                </c:pt>
                <c:pt idx="18">
                  <c:v>1.63287</c:v>
                </c:pt>
                <c:pt idx="19">
                  <c:v>1.7598100000000001</c:v>
                </c:pt>
                <c:pt idx="20">
                  <c:v>2.8461699999999999</c:v>
                </c:pt>
                <c:pt idx="21">
                  <c:v>4.4585499999999998</c:v>
                </c:pt>
                <c:pt idx="22">
                  <c:v>3.8524799999999999</c:v>
                </c:pt>
                <c:pt idx="23">
                  <c:v>1.0443800000000001</c:v>
                </c:pt>
                <c:pt idx="24">
                  <c:v>6.3979100000000004</c:v>
                </c:pt>
                <c:pt idx="25">
                  <c:v>2.83311</c:v>
                </c:pt>
                <c:pt idx="26">
                  <c:v>4.2722199999999999</c:v>
                </c:pt>
                <c:pt idx="27">
                  <c:v>6.9997499999999997</c:v>
                </c:pt>
                <c:pt idx="28">
                  <c:v>6.8056299999999998</c:v>
                </c:pt>
                <c:pt idx="29">
                  <c:v>9.3678600000000003</c:v>
                </c:pt>
                <c:pt idx="30">
                  <c:v>3.3932099999999998</c:v>
                </c:pt>
                <c:pt idx="31">
                  <c:v>1.06308</c:v>
                </c:pt>
                <c:pt idx="32">
                  <c:v>0.97250599999999998</c:v>
                </c:pt>
                <c:pt idx="33">
                  <c:v>6.20838</c:v>
                </c:pt>
                <c:pt idx="34">
                  <c:v>7.1895499999999997</c:v>
                </c:pt>
                <c:pt idx="35">
                  <c:v>3.27122</c:v>
                </c:pt>
                <c:pt idx="36">
                  <c:v>3.2704800000000001</c:v>
                </c:pt>
                <c:pt idx="37">
                  <c:v>1.3418600000000001</c:v>
                </c:pt>
                <c:pt idx="38">
                  <c:v>1.9620599999999999</c:v>
                </c:pt>
                <c:pt idx="39">
                  <c:v>1.3397699999999999</c:v>
                </c:pt>
                <c:pt idx="40">
                  <c:v>3.27068</c:v>
                </c:pt>
                <c:pt idx="41">
                  <c:v>7.1704299999999996</c:v>
                </c:pt>
                <c:pt idx="42">
                  <c:v>3.2699799999999999</c:v>
                </c:pt>
                <c:pt idx="43">
                  <c:v>3.2711600000000001</c:v>
                </c:pt>
              </c:numCache>
            </c:numRef>
          </c:xVal>
          <c:yVal>
            <c:numRef>
              <c:f>'SIV DNA'!$G$66:$G$109</c:f>
              <c:numCache>
                <c:formatCode>0</c:formatCode>
                <c:ptCount val="44"/>
                <c:pt idx="0">
                  <c:v>2.9999982404594236</c:v>
                </c:pt>
                <c:pt idx="1">
                  <c:v>2.9999982404594236</c:v>
                </c:pt>
                <c:pt idx="2">
                  <c:v>2.9999982404594236</c:v>
                </c:pt>
                <c:pt idx="3">
                  <c:v>2.9999982404594236</c:v>
                </c:pt>
                <c:pt idx="4">
                  <c:v>2.9999982404594236</c:v>
                </c:pt>
                <c:pt idx="5">
                  <c:v>2.9999982404594236</c:v>
                </c:pt>
                <c:pt idx="6">
                  <c:v>2.9999982404594236</c:v>
                </c:pt>
                <c:pt idx="7">
                  <c:v>2.9999982404594236</c:v>
                </c:pt>
                <c:pt idx="8">
                  <c:v>4.0394291948366829</c:v>
                </c:pt>
                <c:pt idx="9">
                  <c:v>2.9999982404594236</c:v>
                </c:pt>
                <c:pt idx="10">
                  <c:v>2.9999982404594236</c:v>
                </c:pt>
                <c:pt idx="11">
                  <c:v>2.9999982404594236</c:v>
                </c:pt>
                <c:pt idx="12">
                  <c:v>2.9999982404594236</c:v>
                </c:pt>
                <c:pt idx="13">
                  <c:v>2.9999982404594236</c:v>
                </c:pt>
                <c:pt idx="14">
                  <c:v>2.9999982404594236</c:v>
                </c:pt>
                <c:pt idx="15">
                  <c:v>20.315241994736443</c:v>
                </c:pt>
                <c:pt idx="16">
                  <c:v>2.9999982404594236</c:v>
                </c:pt>
                <c:pt idx="17">
                  <c:v>2.9999982404594236</c:v>
                </c:pt>
                <c:pt idx="18">
                  <c:v>2.9999982404594236</c:v>
                </c:pt>
                <c:pt idx="19">
                  <c:v>2.9999982404594236</c:v>
                </c:pt>
                <c:pt idx="20">
                  <c:v>2.9999982404594236</c:v>
                </c:pt>
                <c:pt idx="21">
                  <c:v>2.9999982404594236</c:v>
                </c:pt>
                <c:pt idx="22">
                  <c:v>2.9999982404594236</c:v>
                </c:pt>
                <c:pt idx="23">
                  <c:v>10.812646381821702</c:v>
                </c:pt>
                <c:pt idx="24">
                  <c:v>2.9999982404594236</c:v>
                </c:pt>
                <c:pt idx="25">
                  <c:v>2.9999982404594236</c:v>
                </c:pt>
                <c:pt idx="26">
                  <c:v>2.9999982404594236</c:v>
                </c:pt>
                <c:pt idx="27">
                  <c:v>2.9999982404594236</c:v>
                </c:pt>
                <c:pt idx="28">
                  <c:v>2.9999982404594236</c:v>
                </c:pt>
                <c:pt idx="29">
                  <c:v>2.9999982404594236</c:v>
                </c:pt>
                <c:pt idx="30">
                  <c:v>2.9999982404594236</c:v>
                </c:pt>
                <c:pt idx="31">
                  <c:v>2.9999982404594236</c:v>
                </c:pt>
                <c:pt idx="32">
                  <c:v>2.9999982404594236</c:v>
                </c:pt>
                <c:pt idx="33">
                  <c:v>2.9999982404594236</c:v>
                </c:pt>
                <c:pt idx="34">
                  <c:v>2.9999982404594236</c:v>
                </c:pt>
                <c:pt idx="35">
                  <c:v>2.9999982404594236</c:v>
                </c:pt>
                <c:pt idx="36">
                  <c:v>2.9999982404594236</c:v>
                </c:pt>
                <c:pt idx="37">
                  <c:v>2.9999982404594236</c:v>
                </c:pt>
                <c:pt idx="38">
                  <c:v>2.9999982404594236</c:v>
                </c:pt>
                <c:pt idx="39">
                  <c:v>2.9999982404594236</c:v>
                </c:pt>
                <c:pt idx="40">
                  <c:v>2.9999982404594236</c:v>
                </c:pt>
                <c:pt idx="41">
                  <c:v>2.9999982404594236</c:v>
                </c:pt>
                <c:pt idx="42">
                  <c:v>2.9999982404594236</c:v>
                </c:pt>
                <c:pt idx="43">
                  <c:v>2.9999982404594236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7B-B940-A44D-19DE310BB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2679440"/>
        <c:axId val="-128326320"/>
      </c:scatterChart>
      <c:valAx>
        <c:axId val="-1326794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</a:t>
                </a:r>
                <a:r>
                  <a:rPr lang="en-US" baseline="0"/>
                  <a:t> ta (days)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8326320"/>
        <c:crosses val="autoZero"/>
        <c:crossBetween val="midCat"/>
      </c:valAx>
      <c:valAx>
        <c:axId val="-1283263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SIV DNA (per</a:t>
                </a:r>
                <a:r>
                  <a:rPr lang="en-US" baseline="0"/>
                  <a:t> million cells)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2679440"/>
        <c:crossesAt val="0.01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LNMC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77264205610701"/>
          <c:y val="0.178222222222222"/>
          <c:w val="0.61182363568190301"/>
          <c:h val="0.62055573053368296"/>
        </c:manualLayout>
      </c:layout>
      <c:scatterChart>
        <c:scatterStyle val="lineMarker"/>
        <c:varyColors val="0"/>
        <c:ser>
          <c:idx val="0"/>
          <c:order val="0"/>
          <c:tx>
            <c:v>Study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'Reservoir correlations'!$D$3:$D$23</c:f>
              <c:numCache>
                <c:formatCode>General</c:formatCode>
                <c:ptCount val="21"/>
                <c:pt idx="0">
                  <c:v>1.76397</c:v>
                </c:pt>
                <c:pt idx="1">
                  <c:v>1.5875600000000001</c:v>
                </c:pt>
                <c:pt idx="2">
                  <c:v>1.5081599999999999</c:v>
                </c:pt>
                <c:pt idx="3">
                  <c:v>1.5199199999999999</c:v>
                </c:pt>
                <c:pt idx="4">
                  <c:v>0.78783800000000004</c:v>
                </c:pt>
                <c:pt idx="5">
                  <c:v>9.2952400000000004E-2</c:v>
                </c:pt>
                <c:pt idx="6">
                  <c:v>0.72390100000000002</c:v>
                </c:pt>
                <c:pt idx="7">
                  <c:v>1.23952</c:v>
                </c:pt>
                <c:pt idx="8">
                  <c:v>0.11718000000000001</c:v>
                </c:pt>
                <c:pt idx="9">
                  <c:v>0.14475199999999999</c:v>
                </c:pt>
                <c:pt idx="10">
                  <c:v>1.1935100000000001</c:v>
                </c:pt>
                <c:pt idx="11">
                  <c:v>0.40154699999999999</c:v>
                </c:pt>
                <c:pt idx="12">
                  <c:v>1.3955200000000001</c:v>
                </c:pt>
                <c:pt idx="13">
                  <c:v>1.3443400000000001</c:v>
                </c:pt>
                <c:pt idx="14">
                  <c:v>36.245199999999997</c:v>
                </c:pt>
                <c:pt idx="15">
                  <c:v>3.1676299999999999</c:v>
                </c:pt>
                <c:pt idx="16">
                  <c:v>1.29281</c:v>
                </c:pt>
                <c:pt idx="17">
                  <c:v>1.13123</c:v>
                </c:pt>
                <c:pt idx="18">
                  <c:v>29.169499999999999</c:v>
                </c:pt>
                <c:pt idx="19">
                  <c:v>1.89706</c:v>
                </c:pt>
                <c:pt idx="20">
                  <c:v>1.3083</c:v>
                </c:pt>
              </c:numCache>
            </c:numRef>
          </c:xVal>
          <c:yVal>
            <c:numRef>
              <c:f>'Reservoir correlations'!$F$3:$F$23</c:f>
              <c:numCache>
                <c:formatCode>0</c:formatCode>
                <c:ptCount val="21"/>
                <c:pt idx="0">
                  <c:v>650.4</c:v>
                </c:pt>
                <c:pt idx="1">
                  <c:v>1050.5</c:v>
                </c:pt>
                <c:pt idx="2">
                  <c:v>1586.4</c:v>
                </c:pt>
                <c:pt idx="3">
                  <c:v>1163.3</c:v>
                </c:pt>
                <c:pt idx="4">
                  <c:v>1003.2</c:v>
                </c:pt>
                <c:pt idx="5">
                  <c:v>2506.2080000000001</c:v>
                </c:pt>
                <c:pt idx="6">
                  <c:v>1290.8</c:v>
                </c:pt>
                <c:pt idx="10">
                  <c:v>896</c:v>
                </c:pt>
                <c:pt idx="11">
                  <c:v>1185</c:v>
                </c:pt>
                <c:pt idx="12">
                  <c:v>324</c:v>
                </c:pt>
                <c:pt idx="13">
                  <c:v>204</c:v>
                </c:pt>
                <c:pt idx="14">
                  <c:v>3</c:v>
                </c:pt>
                <c:pt idx="15">
                  <c:v>1389</c:v>
                </c:pt>
                <c:pt idx="16">
                  <c:v>329</c:v>
                </c:pt>
                <c:pt idx="17">
                  <c:v>608</c:v>
                </c:pt>
                <c:pt idx="18">
                  <c:v>9</c:v>
                </c:pt>
                <c:pt idx="19">
                  <c:v>71</c:v>
                </c:pt>
                <c:pt idx="20">
                  <c:v>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2-8948-8D75-39EB8AAC02A9}"/>
            </c:ext>
          </c:extLst>
        </c:ser>
        <c:ser>
          <c:idx val="1"/>
          <c:order val="1"/>
          <c:tx>
            <c:v>Study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'Reservoir correlations'!$D$24:$D$57</c:f>
              <c:numCache>
                <c:formatCode>General</c:formatCode>
                <c:ptCount val="34"/>
                <c:pt idx="0">
                  <c:v>0.68652500000000005</c:v>
                </c:pt>
                <c:pt idx="1">
                  <c:v>0.195079</c:v>
                </c:pt>
                <c:pt idx="2">
                  <c:v>0.23528099999999999</c:v>
                </c:pt>
                <c:pt idx="3">
                  <c:v>0.26503199999999999</c:v>
                </c:pt>
                <c:pt idx="4">
                  <c:v>0.65491699999999997</c:v>
                </c:pt>
                <c:pt idx="5">
                  <c:v>0.519096</c:v>
                </c:pt>
                <c:pt idx="6">
                  <c:v>0.359184</c:v>
                </c:pt>
                <c:pt idx="7">
                  <c:v>0.68638100000000002</c:v>
                </c:pt>
                <c:pt idx="8">
                  <c:v>0.33810699999999999</c:v>
                </c:pt>
                <c:pt idx="9">
                  <c:v>0.40892000000000001</c:v>
                </c:pt>
                <c:pt idx="10">
                  <c:v>0.770262</c:v>
                </c:pt>
                <c:pt idx="11">
                  <c:v>0.27193200000000001</c:v>
                </c:pt>
                <c:pt idx="12">
                  <c:v>0.386822</c:v>
                </c:pt>
                <c:pt idx="13">
                  <c:v>0.30949500000000002</c:v>
                </c:pt>
                <c:pt idx="14">
                  <c:v>0.56413199999999997</c:v>
                </c:pt>
                <c:pt idx="15">
                  <c:v>0.22791</c:v>
                </c:pt>
                <c:pt idx="16">
                  <c:v>0.203599</c:v>
                </c:pt>
                <c:pt idx="17">
                  <c:v>1.37087</c:v>
                </c:pt>
                <c:pt idx="18">
                  <c:v>0.96917900000000001</c:v>
                </c:pt>
                <c:pt idx="19">
                  <c:v>0.88795100000000005</c:v>
                </c:pt>
                <c:pt idx="20">
                  <c:v>0.89555200000000001</c:v>
                </c:pt>
                <c:pt idx="21">
                  <c:v>1.4915</c:v>
                </c:pt>
                <c:pt idx="22">
                  <c:v>0.48307099999999997</c:v>
                </c:pt>
                <c:pt idx="23">
                  <c:v>2.0175700000000001</c:v>
                </c:pt>
                <c:pt idx="24">
                  <c:v>0.85127299999999995</c:v>
                </c:pt>
                <c:pt idx="25">
                  <c:v>1.16354</c:v>
                </c:pt>
                <c:pt idx="26">
                  <c:v>3.24709</c:v>
                </c:pt>
                <c:pt idx="27">
                  <c:v>0.82167599999999996</c:v>
                </c:pt>
                <c:pt idx="28">
                  <c:v>0.86501099999999997</c:v>
                </c:pt>
                <c:pt idx="29">
                  <c:v>0.76663400000000004</c:v>
                </c:pt>
                <c:pt idx="30">
                  <c:v>1.5221</c:v>
                </c:pt>
                <c:pt idx="31">
                  <c:v>3.4613499999999999</c:v>
                </c:pt>
                <c:pt idx="32">
                  <c:v>2.9060600000000001</c:v>
                </c:pt>
                <c:pt idx="33">
                  <c:v>4.8145199999999999</c:v>
                </c:pt>
              </c:numCache>
            </c:numRef>
          </c:xVal>
          <c:yVal>
            <c:numRef>
              <c:f>'Reservoir correlations'!$F$24:$F$57</c:f>
              <c:numCache>
                <c:formatCode>0</c:formatCode>
                <c:ptCount val="34"/>
                <c:pt idx="0">
                  <c:v>301.99517204020168</c:v>
                </c:pt>
                <c:pt idx="1">
                  <c:v>7585.7757502918394</c:v>
                </c:pt>
                <c:pt idx="2">
                  <c:v>301.99517204020168</c:v>
                </c:pt>
                <c:pt idx="3">
                  <c:v>2570.3957827688669</c:v>
                </c:pt>
                <c:pt idx="4">
                  <c:v>3.0199517204020165</c:v>
                </c:pt>
                <c:pt idx="5">
                  <c:v>1318.2567385564089</c:v>
                </c:pt>
                <c:pt idx="6">
                  <c:v>1621.8100973589308</c:v>
                </c:pt>
                <c:pt idx="7">
                  <c:v>5011.8723362727324</c:v>
                </c:pt>
                <c:pt idx="8">
                  <c:v>2187.7616239495528</c:v>
                </c:pt>
                <c:pt idx="9">
                  <c:v>3.0199517204020165</c:v>
                </c:pt>
                <c:pt idx="10">
                  <c:v>1737.8008287493772</c:v>
                </c:pt>
                <c:pt idx="11">
                  <c:v>4265.7951880159299</c:v>
                </c:pt>
                <c:pt idx="12">
                  <c:v>912.01083935590987</c:v>
                </c:pt>
                <c:pt idx="13">
                  <c:v>3.0199517204020165</c:v>
                </c:pt>
                <c:pt idx="14">
                  <c:v>3.0199517204020165</c:v>
                </c:pt>
                <c:pt idx="15">
                  <c:v>3.0199517204020165</c:v>
                </c:pt>
                <c:pt idx="16">
                  <c:v>2511.8864315095811</c:v>
                </c:pt>
                <c:pt idx="17">
                  <c:v>3.0199517204020165</c:v>
                </c:pt>
                <c:pt idx="18">
                  <c:v>3.0199517204020165</c:v>
                </c:pt>
                <c:pt idx="19">
                  <c:v>1096.4781961431863</c:v>
                </c:pt>
                <c:pt idx="20">
                  <c:v>3.0199517204020165</c:v>
                </c:pt>
                <c:pt idx="21">
                  <c:v>3.0199517204020165</c:v>
                </c:pt>
                <c:pt idx="22">
                  <c:v>3.0199517204020165</c:v>
                </c:pt>
                <c:pt idx="23">
                  <c:v>3.0199517204020165</c:v>
                </c:pt>
                <c:pt idx="24">
                  <c:v>3.0199517204020165</c:v>
                </c:pt>
                <c:pt idx="25">
                  <c:v>3.0199517204020165</c:v>
                </c:pt>
                <c:pt idx="26">
                  <c:v>3.0199517204020165</c:v>
                </c:pt>
                <c:pt idx="27">
                  <c:v>3.0199517204020165</c:v>
                </c:pt>
                <c:pt idx="28">
                  <c:v>3.0199517204020165</c:v>
                </c:pt>
                <c:pt idx="29">
                  <c:v>1258.925411794168</c:v>
                </c:pt>
                <c:pt idx="30">
                  <c:v>3.0199517204020165</c:v>
                </c:pt>
                <c:pt idx="31">
                  <c:v>3.0199517204020165</c:v>
                </c:pt>
                <c:pt idx="32">
                  <c:v>1698.2436524617447</c:v>
                </c:pt>
                <c:pt idx="33">
                  <c:v>3.0199517204020165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D2-8948-8D75-39EB8AAC02A9}"/>
            </c:ext>
          </c:extLst>
        </c:ser>
        <c:ser>
          <c:idx val="2"/>
          <c:order val="2"/>
          <c:tx>
            <c:v>Study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'Reservoir correlations'!$D$58:$D$101</c:f>
              <c:numCache>
                <c:formatCode>General</c:formatCode>
                <c:ptCount val="44"/>
                <c:pt idx="0">
                  <c:v>2.6995100000000001</c:v>
                </c:pt>
                <c:pt idx="1">
                  <c:v>7.0415799999999997</c:v>
                </c:pt>
                <c:pt idx="2">
                  <c:v>2.7211599999999998</c:v>
                </c:pt>
                <c:pt idx="3">
                  <c:v>2.9990600000000001</c:v>
                </c:pt>
                <c:pt idx="4">
                  <c:v>8.4944799999999994</c:v>
                </c:pt>
                <c:pt idx="5">
                  <c:v>1.6569199999999999</c:v>
                </c:pt>
                <c:pt idx="6">
                  <c:v>11.722</c:v>
                </c:pt>
                <c:pt idx="7">
                  <c:v>4.33169</c:v>
                </c:pt>
                <c:pt idx="8">
                  <c:v>2.6133000000000002</c:v>
                </c:pt>
                <c:pt idx="9">
                  <c:v>1.7226300000000001</c:v>
                </c:pt>
                <c:pt idx="10">
                  <c:v>12.0405</c:v>
                </c:pt>
                <c:pt idx="11">
                  <c:v>2.6290300000000002</c:v>
                </c:pt>
                <c:pt idx="12">
                  <c:v>6.4189699999999998</c:v>
                </c:pt>
                <c:pt idx="13">
                  <c:v>2.59755</c:v>
                </c:pt>
                <c:pt idx="14">
                  <c:v>1.7645200000000001</c:v>
                </c:pt>
                <c:pt idx="15">
                  <c:v>10.2849</c:v>
                </c:pt>
                <c:pt idx="16">
                  <c:v>6.4002100000000004</c:v>
                </c:pt>
                <c:pt idx="17">
                  <c:v>3.27373</c:v>
                </c:pt>
                <c:pt idx="18">
                  <c:v>1.63287</c:v>
                </c:pt>
                <c:pt idx="19">
                  <c:v>1.7598100000000001</c:v>
                </c:pt>
                <c:pt idx="20">
                  <c:v>2.8461699999999999</c:v>
                </c:pt>
                <c:pt idx="21">
                  <c:v>4.4585499999999998</c:v>
                </c:pt>
                <c:pt idx="22">
                  <c:v>3.8524799999999999</c:v>
                </c:pt>
                <c:pt idx="23">
                  <c:v>1.0443800000000001</c:v>
                </c:pt>
                <c:pt idx="24">
                  <c:v>6.3979100000000004</c:v>
                </c:pt>
                <c:pt idx="25">
                  <c:v>2.83311</c:v>
                </c:pt>
                <c:pt idx="26">
                  <c:v>4.2722199999999999</c:v>
                </c:pt>
                <c:pt idx="27">
                  <c:v>6.9997499999999997</c:v>
                </c:pt>
                <c:pt idx="28">
                  <c:v>6.8056299999999998</c:v>
                </c:pt>
                <c:pt idx="29">
                  <c:v>9.3678600000000003</c:v>
                </c:pt>
                <c:pt idx="30">
                  <c:v>3.3932099999999998</c:v>
                </c:pt>
                <c:pt idx="31">
                  <c:v>1.06308</c:v>
                </c:pt>
                <c:pt idx="32">
                  <c:v>0.97250599999999998</c:v>
                </c:pt>
                <c:pt idx="33">
                  <c:v>6.20838</c:v>
                </c:pt>
                <c:pt idx="34">
                  <c:v>7.1895499999999997</c:v>
                </c:pt>
                <c:pt idx="35">
                  <c:v>3.27122</c:v>
                </c:pt>
                <c:pt idx="36">
                  <c:v>3.2704800000000001</c:v>
                </c:pt>
                <c:pt idx="37">
                  <c:v>1.3418600000000001</c:v>
                </c:pt>
                <c:pt idx="38">
                  <c:v>1.9620599999999999</c:v>
                </c:pt>
                <c:pt idx="39">
                  <c:v>1.3397699999999999</c:v>
                </c:pt>
                <c:pt idx="40">
                  <c:v>3.27068</c:v>
                </c:pt>
                <c:pt idx="41">
                  <c:v>7.1704299999999996</c:v>
                </c:pt>
                <c:pt idx="42">
                  <c:v>3.2699799999999999</c:v>
                </c:pt>
                <c:pt idx="43">
                  <c:v>3.2711600000000001</c:v>
                </c:pt>
              </c:numCache>
            </c:numRef>
          </c:xVal>
          <c:yVal>
            <c:numRef>
              <c:f>'Reservoir correlations'!$F$58:$F$101</c:f>
              <c:numCache>
                <c:formatCode>0</c:formatCode>
                <c:ptCount val="44"/>
                <c:pt idx="0">
                  <c:v>22.877522966151478</c:v>
                </c:pt>
                <c:pt idx="1">
                  <c:v>23.205824315280147</c:v>
                </c:pt>
                <c:pt idx="2">
                  <c:v>183.39901549403413</c:v>
                </c:pt>
                <c:pt idx="3">
                  <c:v>2.9999982404594236</c:v>
                </c:pt>
                <c:pt idx="4">
                  <c:v>2.9999982404594236</c:v>
                </c:pt>
                <c:pt idx="5">
                  <c:v>61.469828295228105</c:v>
                </c:pt>
                <c:pt idx="6">
                  <c:v>2.9999982404594236</c:v>
                </c:pt>
                <c:pt idx="7">
                  <c:v>98.438276209565345</c:v>
                </c:pt>
                <c:pt idx="8">
                  <c:v>2.9999982404594236</c:v>
                </c:pt>
                <c:pt idx="9">
                  <c:v>57.623946691689689</c:v>
                </c:pt>
                <c:pt idx="10">
                  <c:v>51.985473019222965</c:v>
                </c:pt>
                <c:pt idx="11">
                  <c:v>90.870098748413255</c:v>
                </c:pt>
                <c:pt idx="12">
                  <c:v>31.220007280226508</c:v>
                </c:pt>
                <c:pt idx="13">
                  <c:v>33.197929628456023</c:v>
                </c:pt>
                <c:pt idx="14">
                  <c:v>92.935149092831679</c:v>
                </c:pt>
                <c:pt idx="15">
                  <c:v>150.78321531152775</c:v>
                </c:pt>
                <c:pt idx="16">
                  <c:v>2.9999982404594236</c:v>
                </c:pt>
                <c:pt idx="17">
                  <c:v>2.9999982404594236</c:v>
                </c:pt>
                <c:pt idx="18">
                  <c:v>81.368441918760794</c:v>
                </c:pt>
                <c:pt idx="19">
                  <c:v>31.239854321738992</c:v>
                </c:pt>
                <c:pt idx="20">
                  <c:v>22.780172059599916</c:v>
                </c:pt>
                <c:pt idx="21">
                  <c:v>2.9999982404594236</c:v>
                </c:pt>
                <c:pt idx="22">
                  <c:v>2.9999982404594236</c:v>
                </c:pt>
                <c:pt idx="23">
                  <c:v>316.03195664434412</c:v>
                </c:pt>
                <c:pt idx="24">
                  <c:v>2.9999982404594236</c:v>
                </c:pt>
                <c:pt idx="25">
                  <c:v>2.9999982404594236</c:v>
                </c:pt>
                <c:pt idx="26">
                  <c:v>304.48156277609348</c:v>
                </c:pt>
                <c:pt idx="27">
                  <c:v>186.40604840304908</c:v>
                </c:pt>
                <c:pt idx="28">
                  <c:v>2.9999982404594236</c:v>
                </c:pt>
                <c:pt idx="29">
                  <c:v>2.9999982404594236</c:v>
                </c:pt>
                <c:pt idx="30">
                  <c:v>2.9999982404594236</c:v>
                </c:pt>
                <c:pt idx="31">
                  <c:v>237.93317505613885</c:v>
                </c:pt>
                <c:pt idx="32">
                  <c:v>2.9999982404594236</c:v>
                </c:pt>
                <c:pt idx="33">
                  <c:v>2.9999982404594236</c:v>
                </c:pt>
                <c:pt idx="34">
                  <c:v>2.9999982404594236</c:v>
                </c:pt>
                <c:pt idx="35">
                  <c:v>2.9999982404594236</c:v>
                </c:pt>
                <c:pt idx="36">
                  <c:v>2.9999982404594236</c:v>
                </c:pt>
                <c:pt idx="37">
                  <c:v>2.9999982404594236</c:v>
                </c:pt>
                <c:pt idx="38">
                  <c:v>2.9999982404594236</c:v>
                </c:pt>
                <c:pt idx="39">
                  <c:v>2.9999982404594236</c:v>
                </c:pt>
                <c:pt idx="40">
                  <c:v>2.9999982404594236</c:v>
                </c:pt>
                <c:pt idx="41">
                  <c:v>2.9999982404594236</c:v>
                </c:pt>
                <c:pt idx="42">
                  <c:v>2.9999982404594236</c:v>
                </c:pt>
                <c:pt idx="43">
                  <c:v>2.9999982404594236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2-8948-8D75-39EB8AAC0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6071792"/>
        <c:axId val="-122558224"/>
      </c:scatterChart>
      <c:valAx>
        <c:axId val="-12607179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</a:t>
                </a:r>
                <a:r>
                  <a:rPr lang="en-US" baseline="0"/>
                  <a:t> ta (days)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2558224"/>
        <c:crosses val="autoZero"/>
        <c:crossBetween val="midCat"/>
      </c:valAx>
      <c:valAx>
        <c:axId val="-1225582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SIV DNA (per</a:t>
                </a:r>
                <a:r>
                  <a:rPr lang="en-US" baseline="0"/>
                  <a:t> million cells)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071792"/>
        <c:crossesAt val="0.01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GMMC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77264205610701"/>
          <c:y val="0.178222222222222"/>
          <c:w val="0.61182363568190301"/>
          <c:h val="0.62055573053368296"/>
        </c:manualLayout>
      </c:layout>
      <c:scatterChart>
        <c:scatterStyle val="lineMarker"/>
        <c:varyColors val="0"/>
        <c:ser>
          <c:idx val="0"/>
          <c:order val="0"/>
          <c:tx>
            <c:v>Study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'Reservoir correlations'!$D$3:$D$23</c:f>
              <c:numCache>
                <c:formatCode>General</c:formatCode>
                <c:ptCount val="21"/>
                <c:pt idx="0">
                  <c:v>1.76397</c:v>
                </c:pt>
                <c:pt idx="1">
                  <c:v>1.5875600000000001</c:v>
                </c:pt>
                <c:pt idx="2">
                  <c:v>1.5081599999999999</c:v>
                </c:pt>
                <c:pt idx="3">
                  <c:v>1.5199199999999999</c:v>
                </c:pt>
                <c:pt idx="4">
                  <c:v>0.78783800000000004</c:v>
                </c:pt>
                <c:pt idx="5">
                  <c:v>9.2952400000000004E-2</c:v>
                </c:pt>
                <c:pt idx="6">
                  <c:v>0.72390100000000002</c:v>
                </c:pt>
                <c:pt idx="7">
                  <c:v>1.23952</c:v>
                </c:pt>
                <c:pt idx="8">
                  <c:v>0.11718000000000001</c:v>
                </c:pt>
                <c:pt idx="9">
                  <c:v>0.14475199999999999</c:v>
                </c:pt>
                <c:pt idx="10">
                  <c:v>1.1935100000000001</c:v>
                </c:pt>
                <c:pt idx="11">
                  <c:v>0.40154699999999999</c:v>
                </c:pt>
                <c:pt idx="12">
                  <c:v>1.3955200000000001</c:v>
                </c:pt>
                <c:pt idx="13">
                  <c:v>1.3443400000000001</c:v>
                </c:pt>
                <c:pt idx="14">
                  <c:v>36.245199999999997</c:v>
                </c:pt>
                <c:pt idx="15">
                  <c:v>3.1676299999999999</c:v>
                </c:pt>
                <c:pt idx="16">
                  <c:v>1.29281</c:v>
                </c:pt>
                <c:pt idx="17">
                  <c:v>1.13123</c:v>
                </c:pt>
                <c:pt idx="18">
                  <c:v>29.169499999999999</c:v>
                </c:pt>
                <c:pt idx="19">
                  <c:v>1.89706</c:v>
                </c:pt>
                <c:pt idx="20">
                  <c:v>1.3083</c:v>
                </c:pt>
              </c:numCache>
            </c:numRef>
          </c:xVal>
          <c:yVal>
            <c:numRef>
              <c:f>'Reservoir correlations'!$G$3:$G$23</c:f>
              <c:numCache>
                <c:formatCode>0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595</c:v>
                </c:pt>
                <c:pt idx="5">
                  <c:v>596</c:v>
                </c:pt>
                <c:pt idx="6">
                  <c:v>1213</c:v>
                </c:pt>
                <c:pt idx="10">
                  <c:v>452.3</c:v>
                </c:pt>
                <c:pt idx="11">
                  <c:v>777.93129999999996</c:v>
                </c:pt>
                <c:pt idx="12">
                  <c:v>275.94880000000001</c:v>
                </c:pt>
                <c:pt idx="13">
                  <c:v>339.72879999999998</c:v>
                </c:pt>
                <c:pt idx="14">
                  <c:v>3</c:v>
                </c:pt>
                <c:pt idx="15">
                  <c:v>362.80990000000003</c:v>
                </c:pt>
                <c:pt idx="16">
                  <c:v>66.627979999999994</c:v>
                </c:pt>
                <c:pt idx="17">
                  <c:v>801.72659999999996</c:v>
                </c:pt>
                <c:pt idx="18">
                  <c:v>3</c:v>
                </c:pt>
                <c:pt idx="19">
                  <c:v>301.59980000000002</c:v>
                </c:pt>
                <c:pt idx="20">
                  <c:v>343.50549999999998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8B-4A4B-9ED5-54BFE1596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6071792"/>
        <c:axId val="-122558224"/>
      </c:scatterChart>
      <c:valAx>
        <c:axId val="-12607179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</a:t>
                </a:r>
                <a:r>
                  <a:rPr lang="en-US" baseline="0"/>
                  <a:t> ta (days)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2558224"/>
        <c:crosses val="autoZero"/>
        <c:crossBetween val="midCat"/>
      </c:valAx>
      <c:valAx>
        <c:axId val="-1225582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SIV DNA (per</a:t>
                </a:r>
                <a:r>
                  <a:rPr lang="en-US" baseline="0"/>
                  <a:t> million cells)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071792"/>
        <c:crossesAt val="0.01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of ART stop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'CD4 Correlations'!$D$3:$D$23</c:f>
              <c:numCache>
                <c:formatCode>General</c:formatCode>
                <c:ptCount val="21"/>
                <c:pt idx="0">
                  <c:v>124.023</c:v>
                </c:pt>
                <c:pt idx="1">
                  <c:v>114.355</c:v>
                </c:pt>
                <c:pt idx="2">
                  <c:v>112.717</c:v>
                </c:pt>
                <c:pt idx="3">
                  <c:v>112.684</c:v>
                </c:pt>
                <c:pt idx="4">
                  <c:v>62.5458</c:v>
                </c:pt>
                <c:pt idx="5">
                  <c:v>62.473399999999998</c:v>
                </c:pt>
                <c:pt idx="6">
                  <c:v>80.237399999999994</c:v>
                </c:pt>
                <c:pt idx="7">
                  <c:v>97.963800000000006</c:v>
                </c:pt>
                <c:pt idx="8">
                  <c:v>63.853999999999999</c:v>
                </c:pt>
                <c:pt idx="9">
                  <c:v>73.471699999999998</c:v>
                </c:pt>
                <c:pt idx="10">
                  <c:v>82.725399999999993</c:v>
                </c:pt>
                <c:pt idx="11">
                  <c:v>76.295299999999997</c:v>
                </c:pt>
                <c:pt idx="12">
                  <c:v>121.35</c:v>
                </c:pt>
                <c:pt idx="13">
                  <c:v>113.37</c:v>
                </c:pt>
                <c:pt idx="14">
                  <c:v>100.208</c:v>
                </c:pt>
                <c:pt idx="15">
                  <c:v>115.58</c:v>
                </c:pt>
                <c:pt idx="16">
                  <c:v>103.075</c:v>
                </c:pt>
                <c:pt idx="17">
                  <c:v>109.40900000000001</c:v>
                </c:pt>
                <c:pt idx="18">
                  <c:v>100.60599999999999</c:v>
                </c:pt>
                <c:pt idx="19">
                  <c:v>107.199</c:v>
                </c:pt>
                <c:pt idx="20">
                  <c:v>103.43899999999999</c:v>
                </c:pt>
              </c:numCache>
            </c:numRef>
          </c:xVal>
          <c:yVal>
            <c:numRef>
              <c:f>'CD4 Correlations'!$E$3:$E$23</c:f>
              <c:numCache>
                <c:formatCode>0</c:formatCode>
                <c:ptCount val="21"/>
                <c:pt idx="0">
                  <c:v>918.16000000000008</c:v>
                </c:pt>
                <c:pt idx="1">
                  <c:v>930.26</c:v>
                </c:pt>
                <c:pt idx="2">
                  <c:v>1591.6499999999999</c:v>
                </c:pt>
                <c:pt idx="3">
                  <c:v>904.75</c:v>
                </c:pt>
                <c:pt idx="4">
                  <c:v>472</c:v>
                </c:pt>
                <c:pt idx="5">
                  <c:v>587.52</c:v>
                </c:pt>
                <c:pt idx="6">
                  <c:v>1199.7</c:v>
                </c:pt>
                <c:pt idx="10">
                  <c:v>478.59000000000003</c:v>
                </c:pt>
                <c:pt idx="11">
                  <c:v>379.13999999999993</c:v>
                </c:pt>
                <c:pt idx="12">
                  <c:v>526.11</c:v>
                </c:pt>
                <c:pt idx="13">
                  <c:v>389.3</c:v>
                </c:pt>
                <c:pt idx="14">
                  <c:v>670.31999999999994</c:v>
                </c:pt>
                <c:pt idx="15">
                  <c:v>477.40000000000003</c:v>
                </c:pt>
                <c:pt idx="16">
                  <c:v>744.77</c:v>
                </c:pt>
                <c:pt idx="17">
                  <c:v>660.8</c:v>
                </c:pt>
                <c:pt idx="18">
                  <c:v>933.24</c:v>
                </c:pt>
                <c:pt idx="19">
                  <c:v>582.82999999999993</c:v>
                </c:pt>
                <c:pt idx="20">
                  <c:v>598.5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F-CE49-AFF1-D1C355430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01938240"/>
        <c:axId val="-122725296"/>
      </c:scatterChart>
      <c:valAx>
        <c:axId val="-30193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 mode (cells/mL)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2725296"/>
        <c:crosses val="autoZero"/>
        <c:crossBetween val="midCat"/>
      </c:valAx>
      <c:valAx>
        <c:axId val="-12272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CD4 count (cells/ul)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193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immunity (50 weeks)</a:t>
            </a:r>
          </a:p>
        </c:rich>
      </c:tx>
      <c:layout>
        <c:manualLayout>
          <c:xMode val="edge"/>
          <c:yMode val="edge"/>
          <c:x val="0.25306233595800498"/>
          <c:y val="4.1666666666666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'Immune Correlations'!$C$3:$C$38</c:f>
              <c:numCache>
                <c:formatCode>0</c:formatCode>
                <c:ptCount val="36"/>
                <c:pt idx="0">
                  <c:v>1477630</c:v>
                </c:pt>
                <c:pt idx="1">
                  <c:v>2813890</c:v>
                </c:pt>
                <c:pt idx="2">
                  <c:v>577434</c:v>
                </c:pt>
                <c:pt idx="3">
                  <c:v>1131530</c:v>
                </c:pt>
                <c:pt idx="4">
                  <c:v>1287110</c:v>
                </c:pt>
                <c:pt idx="5">
                  <c:v>1978400</c:v>
                </c:pt>
                <c:pt idx="6">
                  <c:v>922012</c:v>
                </c:pt>
                <c:pt idx="7">
                  <c:v>869058</c:v>
                </c:pt>
                <c:pt idx="8">
                  <c:v>2054480</c:v>
                </c:pt>
                <c:pt idx="10">
                  <c:v>3175930</c:v>
                </c:pt>
                <c:pt idx="11">
                  <c:v>3712400</c:v>
                </c:pt>
                <c:pt idx="12">
                  <c:v>3151260</c:v>
                </c:pt>
                <c:pt idx="13">
                  <c:v>183139</c:v>
                </c:pt>
                <c:pt idx="14">
                  <c:v>1430860</c:v>
                </c:pt>
                <c:pt idx="15">
                  <c:v>719578</c:v>
                </c:pt>
                <c:pt idx="16">
                  <c:v>1178990</c:v>
                </c:pt>
                <c:pt idx="17">
                  <c:v>1041790</c:v>
                </c:pt>
                <c:pt idx="18">
                  <c:v>275432</c:v>
                </c:pt>
                <c:pt idx="19">
                  <c:v>178189</c:v>
                </c:pt>
                <c:pt idx="20">
                  <c:v>17296.599999999999</c:v>
                </c:pt>
                <c:pt idx="21">
                  <c:v>155458</c:v>
                </c:pt>
                <c:pt idx="22">
                  <c:v>109705</c:v>
                </c:pt>
                <c:pt idx="23">
                  <c:v>17182.900000000001</c:v>
                </c:pt>
                <c:pt idx="24">
                  <c:v>11955</c:v>
                </c:pt>
                <c:pt idx="25">
                  <c:v>175144</c:v>
                </c:pt>
                <c:pt idx="26">
                  <c:v>251253</c:v>
                </c:pt>
                <c:pt idx="27">
                  <c:v>12801.3</c:v>
                </c:pt>
                <c:pt idx="28">
                  <c:v>668.00400000000002</c:v>
                </c:pt>
                <c:pt idx="29">
                  <c:v>25844.400000000001</c:v>
                </c:pt>
                <c:pt idx="31">
                  <c:v>1388.41</c:v>
                </c:pt>
                <c:pt idx="32">
                  <c:v>11150.2</c:v>
                </c:pt>
                <c:pt idx="33">
                  <c:v>21745.3</c:v>
                </c:pt>
                <c:pt idx="34">
                  <c:v>30211.599999999999</c:v>
                </c:pt>
                <c:pt idx="35">
                  <c:v>1605.4</c:v>
                </c:pt>
              </c:numCache>
            </c:numRef>
          </c:xVal>
          <c:yVal>
            <c:numRef>
              <c:f>'Immune Correlations'!$I$3:$I$38</c:f>
              <c:numCache>
                <c:formatCode>General</c:formatCode>
                <c:ptCount val="36"/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55</c:v>
                </c:pt>
                <c:pt idx="22">
                  <c:v>10</c:v>
                </c:pt>
                <c:pt idx="23">
                  <c:v>18</c:v>
                </c:pt>
                <c:pt idx="24">
                  <c:v>56</c:v>
                </c:pt>
                <c:pt idx="25">
                  <c:v>18</c:v>
                </c:pt>
                <c:pt idx="26">
                  <c:v>14</c:v>
                </c:pt>
                <c:pt idx="27">
                  <c:v>18</c:v>
                </c:pt>
                <c:pt idx="28">
                  <c:v>16</c:v>
                </c:pt>
                <c:pt idx="29">
                  <c:v>4</c:v>
                </c:pt>
                <c:pt idx="31">
                  <c:v>4</c:v>
                </c:pt>
                <c:pt idx="32">
                  <c:v>7</c:v>
                </c:pt>
                <c:pt idx="33">
                  <c:v>9</c:v>
                </c:pt>
                <c:pt idx="34">
                  <c:v>13</c:v>
                </c:pt>
                <c:pt idx="35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25-184B-9C59-B0E37BC13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8426736"/>
        <c:axId val="-130616864"/>
      </c:scatterChart>
      <c:valAx>
        <c:axId val="-1484267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0616864"/>
        <c:crosses val="autoZero"/>
        <c:crossBetween val="midCat"/>
      </c:valAx>
      <c:valAx>
        <c:axId val="-13061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breadh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842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Pre-ART interruption (72 weeks)</a:t>
            </a:r>
          </a:p>
        </c:rich>
      </c:tx>
      <c:layout>
        <c:manualLayout>
          <c:xMode val="edge"/>
          <c:yMode val="edge"/>
          <c:x val="0.21972900262467199"/>
          <c:y val="4.6296296296296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'Immune Correlations'!$D$3:$D$38</c:f>
              <c:numCache>
                <c:formatCode>General</c:formatCode>
                <c:ptCount val="36"/>
                <c:pt idx="0">
                  <c:v>6.1695656999079533</c:v>
                </c:pt>
                <c:pt idx="1">
                  <c:v>6.4493071160814024</c:v>
                </c:pt>
                <c:pt idx="2">
                  <c:v>5.7615023520726822</c:v>
                </c:pt>
                <c:pt idx="3">
                  <c:v>6.0536660727951581</c:v>
                </c:pt>
                <c:pt idx="4">
                  <c:v>6.1096156645046742</c:v>
                </c:pt>
                <c:pt idx="5">
                  <c:v>6.2963141033532413</c:v>
                </c:pt>
                <c:pt idx="6">
                  <c:v>5.9647365734396036</c:v>
                </c:pt>
                <c:pt idx="7">
                  <c:v>5.9390487617644148</c:v>
                </c:pt>
                <c:pt idx="8">
                  <c:v>6.3127019178383792</c:v>
                </c:pt>
                <c:pt idx="10">
                  <c:v>6.5018709216679182</c:v>
                </c:pt>
                <c:pt idx="11">
                  <c:v>6.5696547639998517</c:v>
                </c:pt>
                <c:pt idx="12">
                  <c:v>6.4984842368480651</c:v>
                </c:pt>
                <c:pt idx="13">
                  <c:v>5.26278083846457</c:v>
                </c:pt>
                <c:pt idx="14">
                  <c:v>6.155597143052673</c:v>
                </c:pt>
                <c:pt idx="15">
                  <c:v>5.857077876984996</c:v>
                </c:pt>
                <c:pt idx="16">
                  <c:v>6.0715101214960754</c:v>
                </c:pt>
                <c:pt idx="17">
                  <c:v>6.0177801843832377</c:v>
                </c:pt>
                <c:pt idx="18">
                  <c:v>5.4400143956742832</c:v>
                </c:pt>
                <c:pt idx="19">
                  <c:v>5.250880890572053</c:v>
                </c:pt>
                <c:pt idx="20">
                  <c:v>4.2379607420676955</c:v>
                </c:pt>
                <c:pt idx="21">
                  <c:v>5.1916130761151837</c:v>
                </c:pt>
                <c:pt idx="22">
                  <c:v>5.0402264217672768</c:v>
                </c:pt>
                <c:pt idx="23">
                  <c:v>4.2350964626215903</c:v>
                </c:pt>
                <c:pt idx="24">
                  <c:v>4.0775495804517936</c:v>
                </c:pt>
                <c:pt idx="25">
                  <c:v>5.2433952640543708</c:v>
                </c:pt>
                <c:pt idx="26">
                  <c:v>5.4001112560033411</c:v>
                </c:pt>
                <c:pt idx="27">
                  <c:v>4.1072540754414772</c:v>
                </c:pt>
                <c:pt idx="28">
                  <c:v>2.8247790630335197</c:v>
                </c:pt>
                <c:pt idx="29">
                  <c:v>4.4123664541003871</c:v>
                </c:pt>
                <c:pt idx="31">
                  <c:v>3.1425177330094427</c:v>
                </c:pt>
                <c:pt idx="32">
                  <c:v>4.0472826573498644</c:v>
                </c:pt>
                <c:pt idx="33">
                  <c:v>4.33736540360613</c:v>
                </c:pt>
                <c:pt idx="34">
                  <c:v>4.480173726027024</c:v>
                </c:pt>
                <c:pt idx="35">
                  <c:v>3.205583258640754</c:v>
                </c:pt>
              </c:numCache>
            </c:numRef>
          </c:xVal>
          <c:yVal>
            <c:numRef>
              <c:f>'Immune Correlations'!$J$3:$J$38</c:f>
              <c:numCache>
                <c:formatCode>General</c:formatCode>
                <c:ptCount val="3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7</c:v>
                </c:pt>
                <c:pt idx="8">
                  <c:v>0</c:v>
                </c:pt>
                <c:pt idx="10">
                  <c:v>6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8</c:v>
                </c:pt>
                <c:pt idx="18">
                  <c:v>11</c:v>
                </c:pt>
                <c:pt idx="19">
                  <c:v>5</c:v>
                </c:pt>
                <c:pt idx="20">
                  <c:v>10</c:v>
                </c:pt>
                <c:pt idx="21">
                  <c:v>8</c:v>
                </c:pt>
                <c:pt idx="22">
                  <c:v>16</c:v>
                </c:pt>
                <c:pt idx="23">
                  <c:v>10</c:v>
                </c:pt>
                <c:pt idx="24">
                  <c:v>10</c:v>
                </c:pt>
                <c:pt idx="25">
                  <c:v>9</c:v>
                </c:pt>
                <c:pt idx="26">
                  <c:v>12</c:v>
                </c:pt>
                <c:pt idx="27">
                  <c:v>11</c:v>
                </c:pt>
                <c:pt idx="28">
                  <c:v>9</c:v>
                </c:pt>
                <c:pt idx="29">
                  <c:v>25</c:v>
                </c:pt>
                <c:pt idx="31">
                  <c:v>15</c:v>
                </c:pt>
                <c:pt idx="32">
                  <c:v>12</c:v>
                </c:pt>
                <c:pt idx="33">
                  <c:v>16</c:v>
                </c:pt>
                <c:pt idx="34">
                  <c:v>0</c:v>
                </c:pt>
                <c:pt idx="35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B2-6C48-BFEC-769AD6006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8480960"/>
        <c:axId val="-119045920"/>
      </c:scatterChart>
      <c:valAx>
        <c:axId val="-118480960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Log10(</a:t>
                </a:r>
                <a:r>
                  <a:rPr lang="en-US" baseline="0"/>
                  <a:t> </a:t>
                </a:r>
                <a:r>
                  <a:rPr lang="en-US"/>
                  <a:t>Np)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045920"/>
        <c:crosses val="autoZero"/>
        <c:crossBetween val="midCat"/>
      </c:valAx>
      <c:valAx>
        <c:axId val="-11904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breadh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8480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immunity (50 weeks)</a:t>
            </a:r>
          </a:p>
        </c:rich>
      </c:tx>
      <c:layout>
        <c:manualLayout>
          <c:xMode val="edge"/>
          <c:yMode val="edge"/>
          <c:x val="0.25306233595800498"/>
          <c:y val="4.1666666666666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'Immune Correlations'!$E$3:$E$38</c:f>
              <c:numCache>
                <c:formatCode>General</c:formatCode>
                <c:ptCount val="36"/>
                <c:pt idx="0">
                  <c:v>249.66900000000001</c:v>
                </c:pt>
                <c:pt idx="1">
                  <c:v>12.7456</c:v>
                </c:pt>
                <c:pt idx="2">
                  <c:v>31.127700000000001</c:v>
                </c:pt>
                <c:pt idx="3">
                  <c:v>42.354700000000001</c:v>
                </c:pt>
                <c:pt idx="4">
                  <c:v>29.283100000000001</c:v>
                </c:pt>
                <c:pt idx="5">
                  <c:v>37.116300000000003</c:v>
                </c:pt>
                <c:pt idx="6">
                  <c:v>228.916</c:v>
                </c:pt>
                <c:pt idx="7">
                  <c:v>64.692300000000003</c:v>
                </c:pt>
                <c:pt idx="8">
                  <c:v>148.46799999999999</c:v>
                </c:pt>
                <c:pt idx="10">
                  <c:v>31.868600000000001</c:v>
                </c:pt>
                <c:pt idx="11">
                  <c:v>13.1251</c:v>
                </c:pt>
                <c:pt idx="12">
                  <c:v>16.139399999999998</c:v>
                </c:pt>
                <c:pt idx="13">
                  <c:v>13.2445</c:v>
                </c:pt>
                <c:pt idx="14">
                  <c:v>79.4358</c:v>
                </c:pt>
                <c:pt idx="15">
                  <c:v>34.2592</c:v>
                </c:pt>
                <c:pt idx="16">
                  <c:v>353.56700000000001</c:v>
                </c:pt>
                <c:pt idx="17">
                  <c:v>372.33100000000002</c:v>
                </c:pt>
                <c:pt idx="18">
                  <c:v>204.48400000000001</c:v>
                </c:pt>
                <c:pt idx="19">
                  <c:v>15.733700000000001</c:v>
                </c:pt>
                <c:pt idx="20">
                  <c:v>5.15069</c:v>
                </c:pt>
                <c:pt idx="21">
                  <c:v>24.4924</c:v>
                </c:pt>
                <c:pt idx="22">
                  <c:v>73.101500000000001</c:v>
                </c:pt>
                <c:pt idx="23">
                  <c:v>38.801900000000003</c:v>
                </c:pt>
                <c:pt idx="24">
                  <c:v>6.8013500000000002</c:v>
                </c:pt>
                <c:pt idx="25">
                  <c:v>134.053</c:v>
                </c:pt>
                <c:pt idx="26">
                  <c:v>31.407299999999999</c:v>
                </c:pt>
                <c:pt idx="27">
                  <c:v>9.6792999999999996</c:v>
                </c:pt>
                <c:pt idx="28">
                  <c:v>7.8928900000000004</c:v>
                </c:pt>
                <c:pt idx="29">
                  <c:v>52.067900000000002</c:v>
                </c:pt>
                <c:pt idx="31">
                  <c:v>16.796299999999999</c:v>
                </c:pt>
                <c:pt idx="32">
                  <c:v>25.575900000000001</c:v>
                </c:pt>
                <c:pt idx="33">
                  <c:v>18.379100000000001</c:v>
                </c:pt>
                <c:pt idx="34">
                  <c:v>86.690399999999997</c:v>
                </c:pt>
                <c:pt idx="35">
                  <c:v>10.5337</c:v>
                </c:pt>
              </c:numCache>
            </c:numRef>
          </c:xVal>
          <c:yVal>
            <c:numRef>
              <c:f>'Immune Correlations'!$I$3:$I$36</c:f>
              <c:numCache>
                <c:formatCode>General</c:formatCode>
                <c:ptCount val="34"/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55</c:v>
                </c:pt>
                <c:pt idx="22">
                  <c:v>10</c:v>
                </c:pt>
                <c:pt idx="23">
                  <c:v>18</c:v>
                </c:pt>
                <c:pt idx="24">
                  <c:v>56</c:v>
                </c:pt>
                <c:pt idx="25">
                  <c:v>18</c:v>
                </c:pt>
                <c:pt idx="26">
                  <c:v>14</c:v>
                </c:pt>
                <c:pt idx="27">
                  <c:v>18</c:v>
                </c:pt>
                <c:pt idx="28">
                  <c:v>16</c:v>
                </c:pt>
                <c:pt idx="29">
                  <c:v>4</c:v>
                </c:pt>
                <c:pt idx="31">
                  <c:v>4</c:v>
                </c:pt>
                <c:pt idx="32">
                  <c:v>7</c:v>
                </c:pt>
                <c:pt idx="3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E1-3246-9683-F3AB1289E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5625440"/>
        <c:axId val="-114624688"/>
      </c:scatterChart>
      <c:valAx>
        <c:axId val="-1256254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</a:t>
                </a:r>
              </a:p>
            </c:rich>
          </c:tx>
          <c:layout>
            <c:manualLayout>
              <c:xMode val="edge"/>
              <c:yMode val="edge"/>
              <c:x val="0.50758333333333305"/>
              <c:y val="0.881944444444443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4624688"/>
        <c:crosses val="autoZero"/>
        <c:crossBetween val="midCat"/>
      </c:valAx>
      <c:valAx>
        <c:axId val="-11462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breadh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562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Pre-ART interruption (72 weeks)</a:t>
            </a:r>
          </a:p>
        </c:rich>
      </c:tx>
      <c:layout>
        <c:manualLayout>
          <c:xMode val="edge"/>
          <c:yMode val="edge"/>
          <c:x val="0.21972900262467199"/>
          <c:y val="4.6296296296296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'Immune Correlations'!$E$3:$E$38</c:f>
              <c:numCache>
                <c:formatCode>General</c:formatCode>
                <c:ptCount val="36"/>
                <c:pt idx="0">
                  <c:v>249.66900000000001</c:v>
                </c:pt>
                <c:pt idx="1">
                  <c:v>12.7456</c:v>
                </c:pt>
                <c:pt idx="2">
                  <c:v>31.127700000000001</c:v>
                </c:pt>
                <c:pt idx="3">
                  <c:v>42.354700000000001</c:v>
                </c:pt>
                <c:pt idx="4">
                  <c:v>29.283100000000001</c:v>
                </c:pt>
                <c:pt idx="5">
                  <c:v>37.116300000000003</c:v>
                </c:pt>
                <c:pt idx="6">
                  <c:v>228.916</c:v>
                </c:pt>
                <c:pt idx="7">
                  <c:v>64.692300000000003</c:v>
                </c:pt>
                <c:pt idx="8">
                  <c:v>148.46799999999999</c:v>
                </c:pt>
                <c:pt idx="10">
                  <c:v>31.868600000000001</c:v>
                </c:pt>
                <c:pt idx="11">
                  <c:v>13.1251</c:v>
                </c:pt>
                <c:pt idx="12">
                  <c:v>16.139399999999998</c:v>
                </c:pt>
                <c:pt idx="13">
                  <c:v>13.2445</c:v>
                </c:pt>
                <c:pt idx="14">
                  <c:v>79.4358</c:v>
                </c:pt>
                <c:pt idx="15">
                  <c:v>34.2592</c:v>
                </c:pt>
                <c:pt idx="16">
                  <c:v>353.56700000000001</c:v>
                </c:pt>
                <c:pt idx="17">
                  <c:v>372.33100000000002</c:v>
                </c:pt>
                <c:pt idx="18">
                  <c:v>204.48400000000001</c:v>
                </c:pt>
                <c:pt idx="19">
                  <c:v>15.733700000000001</c:v>
                </c:pt>
                <c:pt idx="20">
                  <c:v>5.15069</c:v>
                </c:pt>
                <c:pt idx="21">
                  <c:v>24.4924</c:v>
                </c:pt>
                <c:pt idx="22">
                  <c:v>73.101500000000001</c:v>
                </c:pt>
                <c:pt idx="23">
                  <c:v>38.801900000000003</c:v>
                </c:pt>
                <c:pt idx="24">
                  <c:v>6.8013500000000002</c:v>
                </c:pt>
                <c:pt idx="25">
                  <c:v>134.053</c:v>
                </c:pt>
                <c:pt idx="26">
                  <c:v>31.407299999999999</c:v>
                </c:pt>
                <c:pt idx="27">
                  <c:v>9.6792999999999996</c:v>
                </c:pt>
                <c:pt idx="28">
                  <c:v>7.8928900000000004</c:v>
                </c:pt>
                <c:pt idx="29">
                  <c:v>52.067900000000002</c:v>
                </c:pt>
                <c:pt idx="31">
                  <c:v>16.796299999999999</c:v>
                </c:pt>
                <c:pt idx="32">
                  <c:v>25.575900000000001</c:v>
                </c:pt>
                <c:pt idx="33">
                  <c:v>18.379100000000001</c:v>
                </c:pt>
                <c:pt idx="34">
                  <c:v>86.690399999999997</c:v>
                </c:pt>
                <c:pt idx="35">
                  <c:v>10.5337</c:v>
                </c:pt>
              </c:numCache>
            </c:numRef>
          </c:xVal>
          <c:yVal>
            <c:numRef>
              <c:f>'Immune Correlations'!$J$3:$J$38</c:f>
              <c:numCache>
                <c:formatCode>General</c:formatCode>
                <c:ptCount val="3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7</c:v>
                </c:pt>
                <c:pt idx="8">
                  <c:v>0</c:v>
                </c:pt>
                <c:pt idx="10">
                  <c:v>6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8</c:v>
                </c:pt>
                <c:pt idx="18">
                  <c:v>11</c:v>
                </c:pt>
                <c:pt idx="19">
                  <c:v>5</c:v>
                </c:pt>
                <c:pt idx="20">
                  <c:v>10</c:v>
                </c:pt>
                <c:pt idx="21">
                  <c:v>8</c:v>
                </c:pt>
                <c:pt idx="22">
                  <c:v>16</c:v>
                </c:pt>
                <c:pt idx="23">
                  <c:v>10</c:v>
                </c:pt>
                <c:pt idx="24">
                  <c:v>10</c:v>
                </c:pt>
                <c:pt idx="25">
                  <c:v>9</c:v>
                </c:pt>
                <c:pt idx="26">
                  <c:v>12</c:v>
                </c:pt>
                <c:pt idx="27">
                  <c:v>11</c:v>
                </c:pt>
                <c:pt idx="28">
                  <c:v>9</c:v>
                </c:pt>
                <c:pt idx="29">
                  <c:v>25</c:v>
                </c:pt>
                <c:pt idx="31">
                  <c:v>15</c:v>
                </c:pt>
                <c:pt idx="32">
                  <c:v>12</c:v>
                </c:pt>
                <c:pt idx="33">
                  <c:v>16</c:v>
                </c:pt>
                <c:pt idx="34">
                  <c:v>0</c:v>
                </c:pt>
                <c:pt idx="35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04-3945-A50A-9AF68926F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4909296"/>
        <c:axId val="-257663216"/>
      </c:scatterChart>
      <c:valAx>
        <c:axId val="-1149092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57663216"/>
        <c:crosses val="autoZero"/>
        <c:crossBetween val="midCat"/>
      </c:valAx>
      <c:valAx>
        <c:axId val="-25766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breadh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490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 vaccination (62 weeks)</a:t>
            </a:r>
          </a:p>
        </c:rich>
      </c:tx>
      <c:layout>
        <c:manualLayout>
          <c:xMode val="edge"/>
          <c:yMode val="edge"/>
          <c:x val="0.25306233595800498"/>
          <c:y val="4.1666666666666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'Immune Correlations'!$E$3:$E$38</c:f>
              <c:numCache>
                <c:formatCode>General</c:formatCode>
                <c:ptCount val="36"/>
                <c:pt idx="0">
                  <c:v>249.66900000000001</c:v>
                </c:pt>
                <c:pt idx="1">
                  <c:v>12.7456</c:v>
                </c:pt>
                <c:pt idx="2">
                  <c:v>31.127700000000001</c:v>
                </c:pt>
                <c:pt idx="3">
                  <c:v>42.354700000000001</c:v>
                </c:pt>
                <c:pt idx="4">
                  <c:v>29.283100000000001</c:v>
                </c:pt>
                <c:pt idx="5">
                  <c:v>37.116300000000003</c:v>
                </c:pt>
                <c:pt idx="6">
                  <c:v>228.916</c:v>
                </c:pt>
                <c:pt idx="7">
                  <c:v>64.692300000000003</c:v>
                </c:pt>
                <c:pt idx="8">
                  <c:v>148.46799999999999</c:v>
                </c:pt>
                <c:pt idx="10">
                  <c:v>31.868600000000001</c:v>
                </c:pt>
                <c:pt idx="11">
                  <c:v>13.1251</c:v>
                </c:pt>
                <c:pt idx="12">
                  <c:v>16.139399999999998</c:v>
                </c:pt>
                <c:pt idx="13">
                  <c:v>13.2445</c:v>
                </c:pt>
                <c:pt idx="14">
                  <c:v>79.4358</c:v>
                </c:pt>
                <c:pt idx="15">
                  <c:v>34.2592</c:v>
                </c:pt>
                <c:pt idx="16">
                  <c:v>353.56700000000001</c:v>
                </c:pt>
                <c:pt idx="17">
                  <c:v>372.33100000000002</c:v>
                </c:pt>
                <c:pt idx="18">
                  <c:v>204.48400000000001</c:v>
                </c:pt>
                <c:pt idx="19">
                  <c:v>15.733700000000001</c:v>
                </c:pt>
                <c:pt idx="20">
                  <c:v>5.15069</c:v>
                </c:pt>
                <c:pt idx="21">
                  <c:v>24.4924</c:v>
                </c:pt>
                <c:pt idx="22">
                  <c:v>73.101500000000001</c:v>
                </c:pt>
                <c:pt idx="23">
                  <c:v>38.801900000000003</c:v>
                </c:pt>
                <c:pt idx="24">
                  <c:v>6.8013500000000002</c:v>
                </c:pt>
                <c:pt idx="25">
                  <c:v>134.053</c:v>
                </c:pt>
                <c:pt idx="26">
                  <c:v>31.407299999999999</c:v>
                </c:pt>
                <c:pt idx="27">
                  <c:v>9.6792999999999996</c:v>
                </c:pt>
                <c:pt idx="28">
                  <c:v>7.8928900000000004</c:v>
                </c:pt>
                <c:pt idx="29">
                  <c:v>52.067900000000002</c:v>
                </c:pt>
                <c:pt idx="31">
                  <c:v>16.796299999999999</c:v>
                </c:pt>
                <c:pt idx="32">
                  <c:v>25.575900000000001</c:v>
                </c:pt>
                <c:pt idx="33">
                  <c:v>18.379100000000001</c:v>
                </c:pt>
                <c:pt idx="34">
                  <c:v>86.690399999999997</c:v>
                </c:pt>
                <c:pt idx="35">
                  <c:v>10.5337</c:v>
                </c:pt>
              </c:numCache>
            </c:numRef>
          </c:xVal>
          <c:yVal>
            <c:numRef>
              <c:f>'Immune Correlations'!$L$3:$L$38</c:f>
              <c:numCache>
                <c:formatCode>General</c:formatCode>
                <c:ptCount val="36"/>
                <c:pt idx="0">
                  <c:v>0.32900000000000001</c:v>
                </c:pt>
                <c:pt idx="1">
                  <c:v>2.5399999999999999E-2</c:v>
                </c:pt>
                <c:pt idx="2">
                  <c:v>0.11799999999999999</c:v>
                </c:pt>
                <c:pt idx="3">
                  <c:v>9.06E-2</c:v>
                </c:pt>
                <c:pt idx="4">
                  <c:v>0.11700000000000001</c:v>
                </c:pt>
                <c:pt idx="5">
                  <c:v>4.1500000000000002E-2</c:v>
                </c:pt>
                <c:pt idx="6">
                  <c:v>0.17599999999999999</c:v>
                </c:pt>
                <c:pt idx="7">
                  <c:v>2.7699999999999999E-2</c:v>
                </c:pt>
                <c:pt idx="8">
                  <c:v>0</c:v>
                </c:pt>
                <c:pt idx="10">
                  <c:v>0.113</c:v>
                </c:pt>
                <c:pt idx="11">
                  <c:v>0.33900000000000002</c:v>
                </c:pt>
                <c:pt idx="12">
                  <c:v>9.7199999999999995E-2</c:v>
                </c:pt>
                <c:pt idx="13">
                  <c:v>1.7999999999999999E-2</c:v>
                </c:pt>
                <c:pt idx="14">
                  <c:v>0.20300000000000001</c:v>
                </c:pt>
                <c:pt idx="15">
                  <c:v>4.7399999999999998E-2</c:v>
                </c:pt>
                <c:pt idx="16">
                  <c:v>3.3700000000000001E-2</c:v>
                </c:pt>
                <c:pt idx="17">
                  <c:v>9.1600000000000001E-2</c:v>
                </c:pt>
                <c:pt idx="18">
                  <c:v>0.625</c:v>
                </c:pt>
                <c:pt idx="19">
                  <c:v>0.19400000000000001</c:v>
                </c:pt>
                <c:pt idx="20">
                  <c:v>9.92</c:v>
                </c:pt>
                <c:pt idx="21">
                  <c:v>2.42</c:v>
                </c:pt>
                <c:pt idx="22">
                  <c:v>10</c:v>
                </c:pt>
                <c:pt idx="23">
                  <c:v>3.7400000000000003E-2</c:v>
                </c:pt>
                <c:pt idx="24">
                  <c:v>0.76600000000000001</c:v>
                </c:pt>
                <c:pt idx="25">
                  <c:v>5.75</c:v>
                </c:pt>
                <c:pt idx="26">
                  <c:v>1.19</c:v>
                </c:pt>
                <c:pt idx="27">
                  <c:v>3.63</c:v>
                </c:pt>
                <c:pt idx="28">
                  <c:v>4.6100000000000003</c:v>
                </c:pt>
                <c:pt idx="29">
                  <c:v>1.26</c:v>
                </c:pt>
                <c:pt idx="31">
                  <c:v>0.62</c:v>
                </c:pt>
                <c:pt idx="32">
                  <c:v>0.91</c:v>
                </c:pt>
                <c:pt idx="33">
                  <c:v>0.76</c:v>
                </c:pt>
                <c:pt idx="34">
                  <c:v>2.76E-2</c:v>
                </c:pt>
                <c:pt idx="35">
                  <c:v>5.08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C7-E04D-9023-62C502680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9187616"/>
        <c:axId val="-115888800"/>
      </c:scatterChart>
      <c:valAx>
        <c:axId val="-1391876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</a:t>
                </a:r>
              </a:p>
            </c:rich>
          </c:tx>
          <c:layout>
            <c:manualLayout>
              <c:xMode val="edge"/>
              <c:yMode val="edge"/>
              <c:x val="0.50758333333333305"/>
              <c:y val="0.881944444444443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888800"/>
        <c:crosses val="autoZero"/>
        <c:crossBetween val="midCat"/>
      </c:valAx>
      <c:valAx>
        <c:axId val="-11588880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CD8 %IFN-gamma+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918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 vaccination (62 weeks)</a:t>
            </a:r>
          </a:p>
        </c:rich>
      </c:tx>
      <c:layout>
        <c:manualLayout>
          <c:xMode val="edge"/>
          <c:yMode val="edge"/>
          <c:x val="0.25306233595800498"/>
          <c:y val="4.1666666666666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'Immune Correlations'!$F$3:$F$38</c:f>
              <c:numCache>
                <c:formatCode>General</c:formatCode>
                <c:ptCount val="36"/>
                <c:pt idx="0">
                  <c:v>0.87865099999999996</c:v>
                </c:pt>
                <c:pt idx="1">
                  <c:v>0.733213</c:v>
                </c:pt>
                <c:pt idx="2">
                  <c:v>1.0753600000000001</c:v>
                </c:pt>
                <c:pt idx="3">
                  <c:v>0.92417899999999997</c:v>
                </c:pt>
                <c:pt idx="4">
                  <c:v>0.88533300000000004</c:v>
                </c:pt>
                <c:pt idx="5">
                  <c:v>0.80818800000000002</c:v>
                </c:pt>
                <c:pt idx="6">
                  <c:v>0.98491700000000004</c:v>
                </c:pt>
                <c:pt idx="7">
                  <c:v>0.98536599999999996</c:v>
                </c:pt>
                <c:pt idx="8">
                  <c:v>0.81250999999999995</c:v>
                </c:pt>
                <c:pt idx="10">
                  <c:v>0.71145199999999997</c:v>
                </c:pt>
                <c:pt idx="11">
                  <c:v>0.68998599999999999</c:v>
                </c:pt>
                <c:pt idx="12">
                  <c:v>0.71770500000000004</c:v>
                </c:pt>
                <c:pt idx="13">
                  <c:v>1.57222</c:v>
                </c:pt>
                <c:pt idx="14">
                  <c:v>0.86269700000000005</c:v>
                </c:pt>
                <c:pt idx="15">
                  <c:v>1.0190300000000001</c:v>
                </c:pt>
                <c:pt idx="16">
                  <c:v>0.92913900000000005</c:v>
                </c:pt>
                <c:pt idx="17">
                  <c:v>0.95363299999999995</c:v>
                </c:pt>
                <c:pt idx="18">
                  <c:v>0.64921600000000002</c:v>
                </c:pt>
                <c:pt idx="19">
                  <c:v>0.67502899999999999</c:v>
                </c:pt>
                <c:pt idx="20">
                  <c:v>0.648814</c:v>
                </c:pt>
                <c:pt idx="21">
                  <c:v>1.00034</c:v>
                </c:pt>
                <c:pt idx="22">
                  <c:v>0.98601000000000005</c:v>
                </c:pt>
                <c:pt idx="23">
                  <c:v>1.4510700000000001</c:v>
                </c:pt>
                <c:pt idx="24">
                  <c:v>1.06189</c:v>
                </c:pt>
                <c:pt idx="25">
                  <c:v>0.76537599999999995</c:v>
                </c:pt>
                <c:pt idx="26">
                  <c:v>0.72577899999999995</c:v>
                </c:pt>
                <c:pt idx="27">
                  <c:v>0.93229499999999998</c:v>
                </c:pt>
                <c:pt idx="28">
                  <c:v>0.72668900000000003</c:v>
                </c:pt>
                <c:pt idx="29">
                  <c:v>0.59149700000000005</c:v>
                </c:pt>
                <c:pt idx="31">
                  <c:v>0.41743799999999998</c:v>
                </c:pt>
                <c:pt idx="32">
                  <c:v>0.53837400000000002</c:v>
                </c:pt>
                <c:pt idx="33">
                  <c:v>0.91446700000000003</c:v>
                </c:pt>
                <c:pt idx="34">
                  <c:v>0.64172499999999999</c:v>
                </c:pt>
                <c:pt idx="35">
                  <c:v>1.04339</c:v>
                </c:pt>
              </c:numCache>
            </c:numRef>
          </c:xVal>
          <c:yVal>
            <c:numRef>
              <c:f>'Immune Correlations'!$L$3:$L$38</c:f>
              <c:numCache>
                <c:formatCode>General</c:formatCode>
                <c:ptCount val="36"/>
                <c:pt idx="0">
                  <c:v>0.32900000000000001</c:v>
                </c:pt>
                <c:pt idx="1">
                  <c:v>2.5399999999999999E-2</c:v>
                </c:pt>
                <c:pt idx="2">
                  <c:v>0.11799999999999999</c:v>
                </c:pt>
                <c:pt idx="3">
                  <c:v>9.06E-2</c:v>
                </c:pt>
                <c:pt idx="4">
                  <c:v>0.11700000000000001</c:v>
                </c:pt>
                <c:pt idx="5">
                  <c:v>4.1500000000000002E-2</c:v>
                </c:pt>
                <c:pt idx="6">
                  <c:v>0.17599999999999999</c:v>
                </c:pt>
                <c:pt idx="7">
                  <c:v>2.7699999999999999E-2</c:v>
                </c:pt>
                <c:pt idx="8">
                  <c:v>0</c:v>
                </c:pt>
                <c:pt idx="10">
                  <c:v>0.113</c:v>
                </c:pt>
                <c:pt idx="11">
                  <c:v>0.33900000000000002</c:v>
                </c:pt>
                <c:pt idx="12">
                  <c:v>9.7199999999999995E-2</c:v>
                </c:pt>
                <c:pt idx="13">
                  <c:v>1.7999999999999999E-2</c:v>
                </c:pt>
                <c:pt idx="14">
                  <c:v>0.20300000000000001</c:v>
                </c:pt>
                <c:pt idx="15">
                  <c:v>4.7399999999999998E-2</c:v>
                </c:pt>
                <c:pt idx="16">
                  <c:v>3.3700000000000001E-2</c:v>
                </c:pt>
                <c:pt idx="17">
                  <c:v>9.1600000000000001E-2</c:v>
                </c:pt>
                <c:pt idx="18">
                  <c:v>0.625</c:v>
                </c:pt>
                <c:pt idx="19">
                  <c:v>0.19400000000000001</c:v>
                </c:pt>
                <c:pt idx="20">
                  <c:v>9.92</c:v>
                </c:pt>
                <c:pt idx="21">
                  <c:v>2.42</c:v>
                </c:pt>
                <c:pt idx="22">
                  <c:v>10</c:v>
                </c:pt>
                <c:pt idx="23">
                  <c:v>3.7400000000000003E-2</c:v>
                </c:pt>
                <c:pt idx="24">
                  <c:v>0.76600000000000001</c:v>
                </c:pt>
                <c:pt idx="25">
                  <c:v>5.75</c:v>
                </c:pt>
                <c:pt idx="26">
                  <c:v>1.19</c:v>
                </c:pt>
                <c:pt idx="27">
                  <c:v>3.63</c:v>
                </c:pt>
                <c:pt idx="28">
                  <c:v>4.6100000000000003</c:v>
                </c:pt>
                <c:pt idx="29">
                  <c:v>1.26</c:v>
                </c:pt>
                <c:pt idx="31">
                  <c:v>0.62</c:v>
                </c:pt>
                <c:pt idx="32">
                  <c:v>0.91</c:v>
                </c:pt>
                <c:pt idx="33">
                  <c:v>0.76</c:v>
                </c:pt>
                <c:pt idx="34">
                  <c:v>2.76E-2</c:v>
                </c:pt>
                <c:pt idx="35">
                  <c:v>5.08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E8-6849-B1E7-618F04200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5459536"/>
        <c:axId val="-253090064"/>
      </c:scatterChart>
      <c:valAx>
        <c:axId val="-10545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</a:p>
            </c:rich>
          </c:tx>
          <c:layout>
            <c:manualLayout>
              <c:xMode val="edge"/>
              <c:yMode val="edge"/>
              <c:x val="0.50758333333333305"/>
              <c:y val="0.881944444444443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53090064"/>
        <c:crosses val="autoZero"/>
        <c:crossBetween val="midCat"/>
      </c:valAx>
      <c:valAx>
        <c:axId val="-2530900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CD8 %IFN-gamma+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45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 vaccination (62 weeks)</a:t>
            </a:r>
          </a:p>
        </c:rich>
      </c:tx>
      <c:layout>
        <c:manualLayout>
          <c:xMode val="edge"/>
          <c:yMode val="edge"/>
          <c:x val="0.21972900262467199"/>
          <c:y val="4.62962962962963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'Immune Correlations'!$D$3:$D$38</c:f>
              <c:numCache>
                <c:formatCode>General</c:formatCode>
                <c:ptCount val="36"/>
                <c:pt idx="0">
                  <c:v>6.1695656999079533</c:v>
                </c:pt>
                <c:pt idx="1">
                  <c:v>6.4493071160814024</c:v>
                </c:pt>
                <c:pt idx="2">
                  <c:v>5.7615023520726822</c:v>
                </c:pt>
                <c:pt idx="3">
                  <c:v>6.0536660727951581</c:v>
                </c:pt>
                <c:pt idx="4">
                  <c:v>6.1096156645046742</c:v>
                </c:pt>
                <c:pt idx="5">
                  <c:v>6.2963141033532413</c:v>
                </c:pt>
                <c:pt idx="6">
                  <c:v>5.9647365734396036</c:v>
                </c:pt>
                <c:pt idx="7">
                  <c:v>5.9390487617644148</c:v>
                </c:pt>
                <c:pt idx="8">
                  <c:v>6.3127019178383792</c:v>
                </c:pt>
                <c:pt idx="10">
                  <c:v>6.5018709216679182</c:v>
                </c:pt>
                <c:pt idx="11">
                  <c:v>6.5696547639998517</c:v>
                </c:pt>
                <c:pt idx="12">
                  <c:v>6.4984842368480651</c:v>
                </c:pt>
                <c:pt idx="13">
                  <c:v>5.26278083846457</c:v>
                </c:pt>
                <c:pt idx="14">
                  <c:v>6.155597143052673</c:v>
                </c:pt>
                <c:pt idx="15">
                  <c:v>5.857077876984996</c:v>
                </c:pt>
                <c:pt idx="16">
                  <c:v>6.0715101214960754</c:v>
                </c:pt>
                <c:pt idx="17">
                  <c:v>6.0177801843832377</c:v>
                </c:pt>
                <c:pt idx="18">
                  <c:v>5.4400143956742832</c:v>
                </c:pt>
                <c:pt idx="19">
                  <c:v>5.250880890572053</c:v>
                </c:pt>
                <c:pt idx="20">
                  <c:v>4.2379607420676955</c:v>
                </c:pt>
                <c:pt idx="21">
                  <c:v>5.1916130761151837</c:v>
                </c:pt>
                <c:pt idx="22">
                  <c:v>5.0402264217672768</c:v>
                </c:pt>
                <c:pt idx="23">
                  <c:v>4.2350964626215903</c:v>
                </c:pt>
                <c:pt idx="24">
                  <c:v>4.0775495804517936</c:v>
                </c:pt>
                <c:pt idx="25">
                  <c:v>5.2433952640543708</c:v>
                </c:pt>
                <c:pt idx="26">
                  <c:v>5.4001112560033411</c:v>
                </c:pt>
                <c:pt idx="27">
                  <c:v>4.1072540754414772</c:v>
                </c:pt>
                <c:pt idx="28">
                  <c:v>2.8247790630335197</c:v>
                </c:pt>
                <c:pt idx="29">
                  <c:v>4.4123664541003871</c:v>
                </c:pt>
                <c:pt idx="31">
                  <c:v>3.1425177330094427</c:v>
                </c:pt>
                <c:pt idx="32">
                  <c:v>4.0472826573498644</c:v>
                </c:pt>
                <c:pt idx="33">
                  <c:v>4.33736540360613</c:v>
                </c:pt>
                <c:pt idx="34">
                  <c:v>4.480173726027024</c:v>
                </c:pt>
                <c:pt idx="35">
                  <c:v>3.205583258640754</c:v>
                </c:pt>
              </c:numCache>
            </c:numRef>
          </c:xVal>
          <c:yVal>
            <c:numRef>
              <c:f>'Immune Correlations'!$L$3:$L$38</c:f>
              <c:numCache>
                <c:formatCode>General</c:formatCode>
                <c:ptCount val="36"/>
                <c:pt idx="0">
                  <c:v>0.32900000000000001</c:v>
                </c:pt>
                <c:pt idx="1">
                  <c:v>2.5399999999999999E-2</c:v>
                </c:pt>
                <c:pt idx="2">
                  <c:v>0.11799999999999999</c:v>
                </c:pt>
                <c:pt idx="3">
                  <c:v>9.06E-2</c:v>
                </c:pt>
                <c:pt idx="4">
                  <c:v>0.11700000000000001</c:v>
                </c:pt>
                <c:pt idx="5">
                  <c:v>4.1500000000000002E-2</c:v>
                </c:pt>
                <c:pt idx="6">
                  <c:v>0.17599999999999999</c:v>
                </c:pt>
                <c:pt idx="7">
                  <c:v>2.7699999999999999E-2</c:v>
                </c:pt>
                <c:pt idx="8">
                  <c:v>0</c:v>
                </c:pt>
                <c:pt idx="10">
                  <c:v>0.113</c:v>
                </c:pt>
                <c:pt idx="11">
                  <c:v>0.33900000000000002</c:v>
                </c:pt>
                <c:pt idx="12">
                  <c:v>9.7199999999999995E-2</c:v>
                </c:pt>
                <c:pt idx="13">
                  <c:v>1.7999999999999999E-2</c:v>
                </c:pt>
                <c:pt idx="14">
                  <c:v>0.20300000000000001</c:v>
                </c:pt>
                <c:pt idx="15">
                  <c:v>4.7399999999999998E-2</c:v>
                </c:pt>
                <c:pt idx="16">
                  <c:v>3.3700000000000001E-2</c:v>
                </c:pt>
                <c:pt idx="17">
                  <c:v>9.1600000000000001E-2</c:v>
                </c:pt>
                <c:pt idx="18">
                  <c:v>0.625</c:v>
                </c:pt>
                <c:pt idx="19">
                  <c:v>0.19400000000000001</c:v>
                </c:pt>
                <c:pt idx="20">
                  <c:v>9.92</c:v>
                </c:pt>
                <c:pt idx="21">
                  <c:v>2.42</c:v>
                </c:pt>
                <c:pt idx="22">
                  <c:v>10</c:v>
                </c:pt>
                <c:pt idx="23">
                  <c:v>3.7400000000000003E-2</c:v>
                </c:pt>
                <c:pt idx="24">
                  <c:v>0.76600000000000001</c:v>
                </c:pt>
                <c:pt idx="25">
                  <c:v>5.75</c:v>
                </c:pt>
                <c:pt idx="26">
                  <c:v>1.19</c:v>
                </c:pt>
                <c:pt idx="27">
                  <c:v>3.63</c:v>
                </c:pt>
                <c:pt idx="28">
                  <c:v>4.6100000000000003</c:v>
                </c:pt>
                <c:pt idx="29">
                  <c:v>1.26</c:v>
                </c:pt>
                <c:pt idx="31">
                  <c:v>0.62</c:v>
                </c:pt>
                <c:pt idx="32">
                  <c:v>0.91</c:v>
                </c:pt>
                <c:pt idx="33">
                  <c:v>0.76</c:v>
                </c:pt>
                <c:pt idx="34">
                  <c:v>2.76E-2</c:v>
                </c:pt>
                <c:pt idx="35">
                  <c:v>5.08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74-5647-8636-E8DCC0012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8480960"/>
        <c:axId val="-119045920"/>
      </c:scatterChart>
      <c:valAx>
        <c:axId val="-118480960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Log10(</a:t>
                </a:r>
                <a:r>
                  <a:rPr lang="en-US" baseline="0"/>
                  <a:t> </a:t>
                </a:r>
                <a:r>
                  <a:rPr lang="en-US"/>
                  <a:t>Np)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045920"/>
        <c:crossesAt val="1.0000000000000002E-2"/>
        <c:crossBetween val="midCat"/>
      </c:valAx>
      <c:valAx>
        <c:axId val="-1190459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CD8 %IFN-gamma+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848096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Pre-ART interruption (72 weeks)</a:t>
            </a:r>
          </a:p>
        </c:rich>
      </c:tx>
      <c:layout>
        <c:manualLayout>
          <c:xMode val="edge"/>
          <c:yMode val="edge"/>
          <c:x val="0.21972900262467199"/>
          <c:y val="4.6296296296296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'Immune Correlations'!$C$3:$C$38</c:f>
              <c:numCache>
                <c:formatCode>0</c:formatCode>
                <c:ptCount val="36"/>
                <c:pt idx="0">
                  <c:v>1477630</c:v>
                </c:pt>
                <c:pt idx="1">
                  <c:v>2813890</c:v>
                </c:pt>
                <c:pt idx="2">
                  <c:v>577434</c:v>
                </c:pt>
                <c:pt idx="3">
                  <c:v>1131530</c:v>
                </c:pt>
                <c:pt idx="4">
                  <c:v>1287110</c:v>
                </c:pt>
                <c:pt idx="5">
                  <c:v>1978400</c:v>
                </c:pt>
                <c:pt idx="6">
                  <c:v>922012</c:v>
                </c:pt>
                <c:pt idx="7">
                  <c:v>869058</c:v>
                </c:pt>
                <c:pt idx="8">
                  <c:v>2054480</c:v>
                </c:pt>
                <c:pt idx="10">
                  <c:v>3175930</c:v>
                </c:pt>
                <c:pt idx="11">
                  <c:v>3712400</c:v>
                </c:pt>
                <c:pt idx="12">
                  <c:v>3151260</c:v>
                </c:pt>
                <c:pt idx="13">
                  <c:v>183139</c:v>
                </c:pt>
                <c:pt idx="14">
                  <c:v>1430860</c:v>
                </c:pt>
                <c:pt idx="15">
                  <c:v>719578</c:v>
                </c:pt>
                <c:pt idx="16">
                  <c:v>1178990</c:v>
                </c:pt>
                <c:pt idx="17">
                  <c:v>1041790</c:v>
                </c:pt>
                <c:pt idx="18">
                  <c:v>275432</c:v>
                </c:pt>
                <c:pt idx="19">
                  <c:v>178189</c:v>
                </c:pt>
                <c:pt idx="20">
                  <c:v>17296.599999999999</c:v>
                </c:pt>
                <c:pt idx="21">
                  <c:v>155458</c:v>
                </c:pt>
                <c:pt idx="22">
                  <c:v>109705</c:v>
                </c:pt>
                <c:pt idx="23">
                  <c:v>17182.900000000001</c:v>
                </c:pt>
                <c:pt idx="24">
                  <c:v>11955</c:v>
                </c:pt>
                <c:pt idx="25">
                  <c:v>175144</c:v>
                </c:pt>
                <c:pt idx="26">
                  <c:v>251253</c:v>
                </c:pt>
                <c:pt idx="27">
                  <c:v>12801.3</c:v>
                </c:pt>
                <c:pt idx="28">
                  <c:v>668.00400000000002</c:v>
                </c:pt>
                <c:pt idx="29">
                  <c:v>25844.400000000001</c:v>
                </c:pt>
                <c:pt idx="31">
                  <c:v>1388.41</c:v>
                </c:pt>
                <c:pt idx="32">
                  <c:v>11150.2</c:v>
                </c:pt>
                <c:pt idx="33">
                  <c:v>21745.3</c:v>
                </c:pt>
                <c:pt idx="34">
                  <c:v>30211.599999999999</c:v>
                </c:pt>
                <c:pt idx="35">
                  <c:v>1605.4</c:v>
                </c:pt>
              </c:numCache>
            </c:numRef>
          </c:xVal>
          <c:yVal>
            <c:numRef>
              <c:f>'Immune Correlations'!$K$3:$K$38</c:f>
              <c:numCache>
                <c:formatCode>General</c:formatCode>
                <c:ptCount val="36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3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6</c:v>
                </c:pt>
                <c:pt idx="23">
                  <c:v>4</c:v>
                </c:pt>
                <c:pt idx="24">
                  <c:v>6</c:v>
                </c:pt>
                <c:pt idx="25">
                  <c:v>3</c:v>
                </c:pt>
                <c:pt idx="26">
                  <c:v>5</c:v>
                </c:pt>
                <c:pt idx="27">
                  <c:v>5</c:v>
                </c:pt>
                <c:pt idx="28">
                  <c:v>4</c:v>
                </c:pt>
                <c:pt idx="29">
                  <c:v>7</c:v>
                </c:pt>
                <c:pt idx="31">
                  <c:v>5</c:v>
                </c:pt>
                <c:pt idx="32">
                  <c:v>5</c:v>
                </c:pt>
                <c:pt idx="33">
                  <c:v>6</c:v>
                </c:pt>
                <c:pt idx="34">
                  <c:v>0</c:v>
                </c:pt>
                <c:pt idx="35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F-E94C-A354-83720DF29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7119968"/>
        <c:axId val="-107237696"/>
      </c:scatterChart>
      <c:valAx>
        <c:axId val="-1071199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237696"/>
        <c:crosses val="autoZero"/>
        <c:crossBetween val="midCat"/>
      </c:valAx>
      <c:valAx>
        <c:axId val="-10723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Gag breadh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11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520700</xdr:colOff>
      <xdr:row>0</xdr:row>
      <xdr:rowOff>0</xdr:rowOff>
    </xdr:from>
    <xdr:to>
      <xdr:col>14</xdr:col>
      <xdr:colOff>673100</xdr:colOff>
      <xdr:row>14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368300</xdr:colOff>
      <xdr:row>16</xdr:row>
      <xdr:rowOff>12700</xdr:rowOff>
    </xdr:from>
    <xdr:to>
      <xdr:col>14</xdr:col>
      <xdr:colOff>520700</xdr:colOff>
      <xdr:row>30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457200</xdr:colOff>
      <xdr:row>33</xdr:row>
      <xdr:rowOff>76200</xdr:rowOff>
    </xdr:from>
    <xdr:to>
      <xdr:col>14</xdr:col>
      <xdr:colOff>609600</xdr:colOff>
      <xdr:row>47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557B61-C3E4-644C-9C47-6C5C3AD72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1</xdr:row>
      <xdr:rowOff>69850</xdr:rowOff>
    </xdr:from>
    <xdr:to>
      <xdr:col>12</xdr:col>
      <xdr:colOff>812800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508000</xdr:colOff>
      <xdr:row>1</xdr:row>
      <xdr:rowOff>120650</xdr:rowOff>
    </xdr:from>
    <xdr:to>
      <xdr:col>18</xdr:col>
      <xdr:colOff>317500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495300</xdr:colOff>
      <xdr:row>20</xdr:row>
      <xdr:rowOff>114300</xdr:rowOff>
    </xdr:from>
    <xdr:to>
      <xdr:col>18</xdr:col>
      <xdr:colOff>736600</xdr:colOff>
      <xdr:row>34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520700</xdr:colOff>
      <xdr:row>1</xdr:row>
      <xdr:rowOff>95250</xdr:rowOff>
    </xdr:from>
    <xdr:to>
      <xdr:col>23</xdr:col>
      <xdr:colOff>330200</xdr:colOff>
      <xdr:row>14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114300</xdr:colOff>
      <xdr:row>20</xdr:row>
      <xdr:rowOff>139700</xdr:rowOff>
    </xdr:from>
    <xdr:to>
      <xdr:col>23</xdr:col>
      <xdr:colOff>876300</xdr:colOff>
      <xdr:row>34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711200</xdr:colOff>
      <xdr:row>58</xdr:row>
      <xdr:rowOff>146050</xdr:rowOff>
    </xdr:from>
    <xdr:to>
      <xdr:col>23</xdr:col>
      <xdr:colOff>520700</xdr:colOff>
      <xdr:row>72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762000</xdr:colOff>
      <xdr:row>58</xdr:row>
      <xdr:rowOff>177800</xdr:rowOff>
    </xdr:from>
    <xdr:to>
      <xdr:col>28</xdr:col>
      <xdr:colOff>571500</xdr:colOff>
      <xdr:row>72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431800</xdr:colOff>
      <xdr:row>59</xdr:row>
      <xdr:rowOff>76200</xdr:rowOff>
    </xdr:from>
    <xdr:to>
      <xdr:col>18</xdr:col>
      <xdr:colOff>444500</xdr:colOff>
      <xdr:row>72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520700</xdr:colOff>
      <xdr:row>39</xdr:row>
      <xdr:rowOff>50800</xdr:rowOff>
    </xdr:from>
    <xdr:to>
      <xdr:col>18</xdr:col>
      <xdr:colOff>330200</xdr:colOff>
      <xdr:row>52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"/>
  <sheetViews>
    <sheetView workbookViewId="0">
      <selection activeCell="I56" sqref="I56"/>
    </sheetView>
  </sheetViews>
  <sheetFormatPr baseColWidth="10" defaultRowHeight="16" x14ac:dyDescent="0.2"/>
  <cols>
    <col min="1" max="5" width="10.7109375" style="4"/>
    <col min="6" max="7" width="17.5703125" style="4" customWidth="1"/>
    <col min="8" max="8" width="17.85546875" style="4" customWidth="1"/>
    <col min="9" max="9" width="16.5703125" style="4" bestFit="1" customWidth="1"/>
    <col min="10" max="10" width="17.5703125" style="4" bestFit="1" customWidth="1"/>
    <col min="11" max="16384" width="10.7109375" style="4"/>
  </cols>
  <sheetData>
    <row r="1" spans="1:13" x14ac:dyDescent="0.2">
      <c r="G1" s="31" t="s">
        <v>39</v>
      </c>
      <c r="H1" s="31"/>
      <c r="I1" s="31"/>
      <c r="J1" s="31"/>
    </row>
    <row r="2" spans="1:13" s="6" customFormat="1" x14ac:dyDescent="0.2">
      <c r="A2" s="6" t="s">
        <v>0</v>
      </c>
      <c r="B2" s="6" t="s">
        <v>68</v>
      </c>
      <c r="C2" s="6" t="s">
        <v>11</v>
      </c>
      <c r="D2" s="6" t="s">
        <v>1</v>
      </c>
      <c r="E2" s="6" t="s">
        <v>67</v>
      </c>
      <c r="F2" s="6" t="s">
        <v>10</v>
      </c>
      <c r="G2" s="6" t="s">
        <v>14</v>
      </c>
      <c r="H2" s="6" t="s">
        <v>12</v>
      </c>
      <c r="I2" s="6" t="s">
        <v>13</v>
      </c>
    </row>
    <row r="3" spans="1:13" x14ac:dyDescent="0.2">
      <c r="A3" s="4">
        <v>1</v>
      </c>
      <c r="B3" s="1" t="s">
        <v>2</v>
      </c>
      <c r="C3" s="4">
        <v>83</v>
      </c>
      <c r="D3" s="1" t="s">
        <v>3</v>
      </c>
      <c r="E3" s="10">
        <v>1</v>
      </c>
      <c r="F3" s="1" t="s">
        <v>53</v>
      </c>
      <c r="G3" s="2">
        <v>1205.3</v>
      </c>
      <c r="H3" s="2">
        <v>650.4</v>
      </c>
      <c r="I3" s="2">
        <v>3</v>
      </c>
    </row>
    <row r="4" spans="1:13" x14ac:dyDescent="0.2">
      <c r="A4" s="4">
        <v>1</v>
      </c>
      <c r="B4" s="1" t="s">
        <v>2</v>
      </c>
      <c r="C4" s="4">
        <v>83</v>
      </c>
      <c r="D4" s="1" t="s">
        <v>4</v>
      </c>
      <c r="E4" s="10">
        <v>2</v>
      </c>
      <c r="F4" s="1" t="s">
        <v>53</v>
      </c>
      <c r="G4" s="2">
        <v>1436.4549999999999</v>
      </c>
      <c r="H4" s="2">
        <v>1050.5</v>
      </c>
      <c r="I4" s="2">
        <v>3</v>
      </c>
    </row>
    <row r="5" spans="1:13" x14ac:dyDescent="0.2">
      <c r="A5" s="4">
        <v>1</v>
      </c>
      <c r="B5" s="1" t="s">
        <v>2</v>
      </c>
      <c r="C5" s="4">
        <v>83</v>
      </c>
      <c r="D5" s="1" t="s">
        <v>5</v>
      </c>
      <c r="E5" s="10">
        <v>3</v>
      </c>
      <c r="F5" s="1" t="s">
        <v>53</v>
      </c>
      <c r="G5" s="2">
        <v>1174.3</v>
      </c>
      <c r="H5" s="2">
        <v>1586.4</v>
      </c>
      <c r="I5" s="2">
        <v>3</v>
      </c>
    </row>
    <row r="6" spans="1:13" x14ac:dyDescent="0.2">
      <c r="A6" s="4">
        <v>1</v>
      </c>
      <c r="B6" s="1" t="s">
        <v>2</v>
      </c>
      <c r="C6" s="4">
        <v>83</v>
      </c>
      <c r="D6" s="1" t="s">
        <v>6</v>
      </c>
      <c r="E6" s="10">
        <v>4</v>
      </c>
      <c r="F6" s="1" t="s">
        <v>53</v>
      </c>
      <c r="G6" s="2">
        <v>2457.5839999999998</v>
      </c>
      <c r="H6" s="2">
        <v>1163.3</v>
      </c>
      <c r="I6" s="2">
        <v>3</v>
      </c>
    </row>
    <row r="7" spans="1:13" x14ac:dyDescent="0.2">
      <c r="A7" s="4">
        <v>1</v>
      </c>
      <c r="B7" s="1" t="s">
        <v>2</v>
      </c>
      <c r="C7" s="4">
        <v>83</v>
      </c>
      <c r="D7" s="1" t="s">
        <v>7</v>
      </c>
      <c r="E7" s="10">
        <v>5</v>
      </c>
      <c r="F7" s="1" t="s">
        <v>50</v>
      </c>
      <c r="G7" s="2">
        <v>1107.2349999999999</v>
      </c>
      <c r="H7" s="2">
        <v>1003.2</v>
      </c>
      <c r="I7" s="2">
        <v>595</v>
      </c>
    </row>
    <row r="8" spans="1:13" x14ac:dyDescent="0.2">
      <c r="A8" s="4">
        <v>1</v>
      </c>
      <c r="B8" s="1" t="s">
        <v>2</v>
      </c>
      <c r="C8" s="4">
        <v>83</v>
      </c>
      <c r="D8" s="1" t="s">
        <v>8</v>
      </c>
      <c r="E8" s="10">
        <v>6</v>
      </c>
      <c r="F8" s="1" t="s">
        <v>50</v>
      </c>
      <c r="G8" s="2">
        <v>8622.7209999999995</v>
      </c>
      <c r="H8" s="2">
        <v>2506.2080000000001</v>
      </c>
      <c r="I8" s="2">
        <v>596</v>
      </c>
    </row>
    <row r="9" spans="1:13" x14ac:dyDescent="0.2">
      <c r="A9" s="4">
        <v>1</v>
      </c>
      <c r="B9" s="1" t="s">
        <v>2</v>
      </c>
      <c r="C9" s="4">
        <v>83</v>
      </c>
      <c r="D9" s="1" t="s">
        <v>9</v>
      </c>
      <c r="E9" s="10">
        <v>7</v>
      </c>
      <c r="F9" s="1" t="s">
        <v>50</v>
      </c>
      <c r="G9" s="2">
        <v>4124.5</v>
      </c>
      <c r="H9" s="2">
        <v>1290.8</v>
      </c>
      <c r="I9" s="2">
        <v>1213</v>
      </c>
    </row>
    <row r="10" spans="1:13" x14ac:dyDescent="0.2">
      <c r="A10" s="4">
        <v>1</v>
      </c>
      <c r="B10" s="1" t="s">
        <v>2</v>
      </c>
      <c r="C10" s="4">
        <v>83</v>
      </c>
      <c r="D10" s="16" t="s">
        <v>27</v>
      </c>
      <c r="E10" s="10">
        <v>8</v>
      </c>
      <c r="F10" s="1" t="s">
        <v>50</v>
      </c>
      <c r="G10" s="2"/>
      <c r="H10" s="2"/>
      <c r="I10" s="2"/>
    </row>
    <row r="11" spans="1:13" x14ac:dyDescent="0.2">
      <c r="A11" s="4">
        <v>1</v>
      </c>
      <c r="B11" s="1" t="s">
        <v>2</v>
      </c>
      <c r="C11" s="4">
        <v>83</v>
      </c>
      <c r="D11" s="16" t="s">
        <v>28</v>
      </c>
      <c r="E11" s="10">
        <v>9</v>
      </c>
      <c r="F11" s="1" t="s">
        <v>50</v>
      </c>
      <c r="G11" s="2"/>
      <c r="H11" s="2"/>
      <c r="I11" s="2"/>
    </row>
    <row r="12" spans="1:13" x14ac:dyDescent="0.2">
      <c r="A12" s="4">
        <v>1</v>
      </c>
      <c r="B12" s="1" t="s">
        <v>2</v>
      </c>
      <c r="C12" s="4">
        <v>83</v>
      </c>
      <c r="D12" s="16" t="s">
        <v>29</v>
      </c>
      <c r="E12" s="10">
        <v>10</v>
      </c>
      <c r="F12" s="1" t="s">
        <v>50</v>
      </c>
      <c r="G12" s="2"/>
      <c r="H12" s="2"/>
      <c r="I12" s="2"/>
    </row>
    <row r="13" spans="1:13" x14ac:dyDescent="0.2">
      <c r="A13" s="4">
        <v>1</v>
      </c>
      <c r="B13" s="4" t="s">
        <v>15</v>
      </c>
      <c r="C13" s="4">
        <v>122</v>
      </c>
      <c r="D13" s="3" t="s">
        <v>25</v>
      </c>
      <c r="E13" s="10">
        <v>11</v>
      </c>
      <c r="F13" s="3" t="s">
        <v>50</v>
      </c>
      <c r="G13" s="2">
        <v>361</v>
      </c>
      <c r="H13" s="2">
        <v>896</v>
      </c>
      <c r="I13" s="2">
        <v>452.3</v>
      </c>
    </row>
    <row r="14" spans="1:13" x14ac:dyDescent="0.2">
      <c r="A14" s="4">
        <v>1</v>
      </c>
      <c r="B14" s="4" t="s">
        <v>15</v>
      </c>
      <c r="C14" s="4">
        <v>122</v>
      </c>
      <c r="D14" s="3" t="s">
        <v>26</v>
      </c>
      <c r="E14" s="10">
        <v>12</v>
      </c>
      <c r="F14" s="3" t="s">
        <v>50</v>
      </c>
      <c r="G14" s="2">
        <v>306</v>
      </c>
      <c r="H14" s="2">
        <v>1185</v>
      </c>
      <c r="I14" s="2">
        <v>777.93129999999996</v>
      </c>
    </row>
    <row r="15" spans="1:13" x14ac:dyDescent="0.2">
      <c r="A15" s="4">
        <v>1</v>
      </c>
      <c r="B15" s="4" t="s">
        <v>15</v>
      </c>
      <c r="C15" s="4">
        <v>122</v>
      </c>
      <c r="D15" s="3" t="s">
        <v>16</v>
      </c>
      <c r="E15" s="10">
        <v>13</v>
      </c>
      <c r="F15" s="3" t="s">
        <v>54</v>
      </c>
      <c r="G15" s="2">
        <v>191</v>
      </c>
      <c r="H15" s="2">
        <v>324</v>
      </c>
      <c r="I15" s="2">
        <v>275.94880000000001</v>
      </c>
      <c r="L15" s="3"/>
      <c r="M15" s="2"/>
    </row>
    <row r="16" spans="1:13" x14ac:dyDescent="0.2">
      <c r="A16" s="4">
        <v>1</v>
      </c>
      <c r="B16" s="4" t="s">
        <v>15</v>
      </c>
      <c r="C16" s="4">
        <v>122</v>
      </c>
      <c r="D16" s="3" t="s">
        <v>17</v>
      </c>
      <c r="E16" s="10">
        <v>14</v>
      </c>
      <c r="F16" s="3" t="s">
        <v>54</v>
      </c>
      <c r="G16" s="2">
        <v>234</v>
      </c>
      <c r="H16" s="2">
        <v>204</v>
      </c>
      <c r="I16" s="2">
        <v>339.72879999999998</v>
      </c>
      <c r="M16" s="2"/>
    </row>
    <row r="17" spans="1:13" x14ac:dyDescent="0.2">
      <c r="A17" s="4">
        <v>1</v>
      </c>
      <c r="B17" s="4" t="s">
        <v>15</v>
      </c>
      <c r="C17" s="4">
        <v>122</v>
      </c>
      <c r="D17" s="3" t="s">
        <v>18</v>
      </c>
      <c r="E17" s="10">
        <v>15</v>
      </c>
      <c r="F17" s="3" t="s">
        <v>54</v>
      </c>
      <c r="G17" s="2">
        <v>196</v>
      </c>
      <c r="H17" s="2">
        <v>3</v>
      </c>
      <c r="I17" s="2">
        <v>3</v>
      </c>
      <c r="M17" s="2"/>
    </row>
    <row r="18" spans="1:13" x14ac:dyDescent="0.2">
      <c r="A18" s="4">
        <v>1</v>
      </c>
      <c r="B18" s="4" t="s">
        <v>15</v>
      </c>
      <c r="C18" s="4">
        <v>122</v>
      </c>
      <c r="D18" s="3" t="s">
        <v>19</v>
      </c>
      <c r="E18" s="10">
        <v>16</v>
      </c>
      <c r="F18" s="3" t="s">
        <v>53</v>
      </c>
      <c r="G18" s="2">
        <v>99</v>
      </c>
      <c r="H18" s="2">
        <v>1389</v>
      </c>
      <c r="I18" s="2">
        <v>362.80990000000003</v>
      </c>
      <c r="M18" s="2"/>
    </row>
    <row r="19" spans="1:13" x14ac:dyDescent="0.2">
      <c r="A19" s="4">
        <v>1</v>
      </c>
      <c r="B19" s="4" t="s">
        <v>15</v>
      </c>
      <c r="C19" s="4">
        <v>122</v>
      </c>
      <c r="D19" s="3" t="s">
        <v>20</v>
      </c>
      <c r="E19" s="10">
        <v>17</v>
      </c>
      <c r="F19" s="3" t="s">
        <v>53</v>
      </c>
      <c r="G19" s="2">
        <v>130</v>
      </c>
      <c r="H19" s="2">
        <v>329</v>
      </c>
      <c r="I19" s="2">
        <v>66.627979999999994</v>
      </c>
      <c r="M19" s="2"/>
    </row>
    <row r="20" spans="1:13" x14ac:dyDescent="0.2">
      <c r="A20" s="4">
        <v>1</v>
      </c>
      <c r="B20" s="4" t="s">
        <v>15</v>
      </c>
      <c r="C20" s="4">
        <v>122</v>
      </c>
      <c r="D20" s="3" t="s">
        <v>21</v>
      </c>
      <c r="E20" s="10">
        <v>18</v>
      </c>
      <c r="F20" s="3" t="s">
        <v>53</v>
      </c>
      <c r="G20" s="2">
        <v>1010</v>
      </c>
      <c r="H20" s="2">
        <v>608</v>
      </c>
      <c r="I20" s="2">
        <v>801.72659999999996</v>
      </c>
      <c r="K20" s="3"/>
      <c r="M20" s="2"/>
    </row>
    <row r="21" spans="1:13" x14ac:dyDescent="0.2">
      <c r="A21" s="4">
        <v>1</v>
      </c>
      <c r="B21" s="4" t="s">
        <v>15</v>
      </c>
      <c r="C21" s="4">
        <v>125</v>
      </c>
      <c r="D21" s="3" t="s">
        <v>22</v>
      </c>
      <c r="E21" s="10">
        <v>19</v>
      </c>
      <c r="F21" s="3" t="s">
        <v>53</v>
      </c>
      <c r="G21" s="2">
        <v>3</v>
      </c>
      <c r="H21" s="2">
        <v>9</v>
      </c>
      <c r="I21" s="2">
        <v>3</v>
      </c>
      <c r="M21" s="2"/>
    </row>
    <row r="22" spans="1:13" x14ac:dyDescent="0.2">
      <c r="A22" s="4">
        <v>1</v>
      </c>
      <c r="B22" s="4" t="s">
        <v>15</v>
      </c>
      <c r="C22" s="4">
        <v>125</v>
      </c>
      <c r="D22" s="3" t="s">
        <v>23</v>
      </c>
      <c r="E22" s="10">
        <v>20</v>
      </c>
      <c r="F22" s="3" t="s">
        <v>53</v>
      </c>
      <c r="G22" s="2">
        <v>230</v>
      </c>
      <c r="H22" s="2">
        <v>71</v>
      </c>
      <c r="I22" s="2">
        <v>301.59980000000002</v>
      </c>
      <c r="M22" s="2"/>
    </row>
    <row r="23" spans="1:13" x14ac:dyDescent="0.2">
      <c r="A23" s="4">
        <v>1</v>
      </c>
      <c r="B23" s="4" t="s">
        <v>15</v>
      </c>
      <c r="C23" s="4">
        <v>125</v>
      </c>
      <c r="D23" s="3" t="s">
        <v>24</v>
      </c>
      <c r="E23" s="10">
        <v>21</v>
      </c>
      <c r="F23" s="3" t="s">
        <v>53</v>
      </c>
      <c r="G23" s="2">
        <v>98</v>
      </c>
      <c r="H23" s="2">
        <v>140</v>
      </c>
      <c r="I23" s="2">
        <v>343.50549999999998</v>
      </c>
      <c r="M23" s="2"/>
    </row>
    <row r="24" spans="1:13" x14ac:dyDescent="0.2">
      <c r="M24" s="2"/>
    </row>
    <row r="25" spans="1:13" x14ac:dyDescent="0.2">
      <c r="D25" s="3"/>
      <c r="E25" s="3"/>
      <c r="F25" s="9"/>
      <c r="G25" s="32" t="s">
        <v>40</v>
      </c>
      <c r="H25" s="32"/>
      <c r="I25" s="2"/>
      <c r="M25" s="2"/>
    </row>
    <row r="26" spans="1:13" x14ac:dyDescent="0.2">
      <c r="G26" s="6" t="s">
        <v>14</v>
      </c>
      <c r="H26" s="6" t="s">
        <v>37</v>
      </c>
    </row>
    <row r="27" spans="1:13" x14ac:dyDescent="0.2">
      <c r="A27" s="4">
        <v>2</v>
      </c>
      <c r="C27" s="4">
        <v>70</v>
      </c>
      <c r="D27" s="10">
        <v>5900</v>
      </c>
      <c r="E27" s="10">
        <v>5900</v>
      </c>
      <c r="F27" s="10" t="s">
        <v>50</v>
      </c>
      <c r="G27" s="13">
        <v>3.0199517204020165</v>
      </c>
      <c r="H27" s="13">
        <v>301.99517204020168</v>
      </c>
      <c r="I27" s="8"/>
      <c r="J27" s="8"/>
    </row>
    <row r="28" spans="1:13" x14ac:dyDescent="0.2">
      <c r="A28" s="4">
        <v>2</v>
      </c>
      <c r="C28" s="4">
        <v>70</v>
      </c>
      <c r="D28" s="10">
        <v>5901</v>
      </c>
      <c r="E28" s="10">
        <v>5901</v>
      </c>
      <c r="F28" s="10" t="s">
        <v>50</v>
      </c>
      <c r="G28" s="13">
        <v>575.43993733715706</v>
      </c>
      <c r="H28" s="13">
        <v>7585.7757502918394</v>
      </c>
      <c r="I28" s="8"/>
      <c r="J28" s="8"/>
    </row>
    <row r="29" spans="1:13" x14ac:dyDescent="0.2">
      <c r="A29" s="4">
        <v>2</v>
      </c>
      <c r="C29" s="4">
        <v>70</v>
      </c>
      <c r="D29" s="10">
        <v>5902</v>
      </c>
      <c r="E29" s="10">
        <v>5902</v>
      </c>
      <c r="F29" s="10" t="s">
        <v>50</v>
      </c>
      <c r="G29" s="13">
        <v>3.0199517204020165</v>
      </c>
      <c r="H29" s="13">
        <v>301.99517204020168</v>
      </c>
      <c r="I29" s="8"/>
      <c r="J29" s="8"/>
    </row>
    <row r="30" spans="1:13" x14ac:dyDescent="0.2">
      <c r="A30" s="4">
        <v>2</v>
      </c>
      <c r="C30" s="4">
        <v>70</v>
      </c>
      <c r="D30" s="10">
        <v>5903</v>
      </c>
      <c r="E30" s="10">
        <v>5903</v>
      </c>
      <c r="F30" s="10" t="s">
        <v>50</v>
      </c>
      <c r="G30" s="13">
        <v>223.87211385683412</v>
      </c>
      <c r="H30" s="13">
        <v>2570.3957827688669</v>
      </c>
      <c r="I30" s="8"/>
      <c r="J30" s="8"/>
    </row>
    <row r="31" spans="1:13" x14ac:dyDescent="0.2">
      <c r="A31" s="4">
        <v>2</v>
      </c>
      <c r="C31" s="4">
        <v>70</v>
      </c>
      <c r="D31" s="10">
        <v>5904</v>
      </c>
      <c r="E31" s="10">
        <v>5904</v>
      </c>
      <c r="F31" s="10" t="s">
        <v>50</v>
      </c>
      <c r="G31" s="13">
        <v>3.0199517204020165</v>
      </c>
      <c r="H31" s="13">
        <v>3.0199517204020165</v>
      </c>
      <c r="I31" s="8"/>
      <c r="J31" s="8"/>
    </row>
    <row r="32" spans="1:13" x14ac:dyDescent="0.2">
      <c r="A32" s="4">
        <v>2</v>
      </c>
      <c r="C32" s="4">
        <v>70</v>
      </c>
      <c r="D32" s="10">
        <v>5905</v>
      </c>
      <c r="E32" s="10">
        <v>5905</v>
      </c>
      <c r="F32" s="10" t="s">
        <v>50</v>
      </c>
      <c r="G32" s="13">
        <v>112.20184543019634</v>
      </c>
      <c r="H32" s="13">
        <v>1318.2567385564089</v>
      </c>
      <c r="I32" s="8"/>
      <c r="J32" s="8"/>
    </row>
    <row r="33" spans="1:10" x14ac:dyDescent="0.2">
      <c r="A33" s="4">
        <v>2</v>
      </c>
      <c r="C33" s="4">
        <v>70</v>
      </c>
      <c r="D33" s="10">
        <v>5906</v>
      </c>
      <c r="E33" s="10">
        <v>5906</v>
      </c>
      <c r="F33" s="10" t="s">
        <v>50</v>
      </c>
      <c r="G33" s="13">
        <v>123.02687708123821</v>
      </c>
      <c r="H33" s="13">
        <v>1621.8100973589308</v>
      </c>
      <c r="I33" s="8"/>
      <c r="J33" s="8"/>
    </row>
    <row r="34" spans="1:10" x14ac:dyDescent="0.2">
      <c r="A34" s="4">
        <v>2</v>
      </c>
      <c r="C34" s="4">
        <v>70</v>
      </c>
      <c r="D34" s="10">
        <v>5907</v>
      </c>
      <c r="E34" s="10">
        <v>5907</v>
      </c>
      <c r="F34" s="10" t="s">
        <v>50</v>
      </c>
      <c r="G34" s="13">
        <v>114.81536214968835</v>
      </c>
      <c r="H34" s="13">
        <v>5011.8723362727324</v>
      </c>
      <c r="I34" s="8"/>
      <c r="J34" s="8"/>
    </row>
    <row r="35" spans="1:10" x14ac:dyDescent="0.2">
      <c r="A35" s="4">
        <v>2</v>
      </c>
      <c r="C35" s="4">
        <v>70</v>
      </c>
      <c r="D35" s="10">
        <v>5908</v>
      </c>
      <c r="E35" s="10">
        <v>5908</v>
      </c>
      <c r="F35" s="10" t="s">
        <v>50</v>
      </c>
      <c r="G35" s="13">
        <v>154.8816618912482</v>
      </c>
      <c r="H35" s="13">
        <v>2187.7616239495528</v>
      </c>
      <c r="I35" s="8"/>
      <c r="J35" s="8"/>
    </row>
    <row r="36" spans="1:10" x14ac:dyDescent="0.2">
      <c r="A36" s="4">
        <v>2</v>
      </c>
      <c r="C36" s="4">
        <v>70</v>
      </c>
      <c r="D36" s="10">
        <v>5891</v>
      </c>
      <c r="E36" s="10">
        <v>5891</v>
      </c>
      <c r="F36" s="10" t="s">
        <v>38</v>
      </c>
      <c r="G36" s="13"/>
      <c r="H36" s="13"/>
      <c r="I36" s="8"/>
      <c r="J36" s="8"/>
    </row>
    <row r="37" spans="1:10" x14ac:dyDescent="0.2">
      <c r="A37" s="4">
        <v>2</v>
      </c>
      <c r="C37" s="4">
        <v>70</v>
      </c>
      <c r="D37" s="10">
        <v>5892</v>
      </c>
      <c r="E37" s="10">
        <v>5892</v>
      </c>
      <c r="F37" s="10" t="s">
        <v>38</v>
      </c>
      <c r="G37" s="13">
        <v>3.0199517204020165</v>
      </c>
      <c r="H37" s="13">
        <v>3.0199517204020165</v>
      </c>
      <c r="I37" s="8"/>
      <c r="J37" s="8"/>
    </row>
    <row r="38" spans="1:10" x14ac:dyDescent="0.2">
      <c r="A38" s="4">
        <v>2</v>
      </c>
      <c r="C38" s="4">
        <v>70</v>
      </c>
      <c r="D38" s="10">
        <v>5893</v>
      </c>
      <c r="E38" s="10">
        <v>5893</v>
      </c>
      <c r="F38" s="10" t="s">
        <v>38</v>
      </c>
      <c r="G38" s="13">
        <v>181.9700858609983</v>
      </c>
      <c r="H38" s="13">
        <v>1737.8008287493772</v>
      </c>
      <c r="I38" s="8"/>
      <c r="J38" s="8"/>
    </row>
    <row r="39" spans="1:10" x14ac:dyDescent="0.2">
      <c r="A39" s="4">
        <v>2</v>
      </c>
      <c r="C39" s="4">
        <v>70</v>
      </c>
      <c r="D39" s="10">
        <v>5894</v>
      </c>
      <c r="E39" s="10">
        <v>5894</v>
      </c>
      <c r="F39" s="10" t="s">
        <v>38</v>
      </c>
      <c r="G39" s="13">
        <v>3.0199517204020165</v>
      </c>
      <c r="H39" s="13">
        <v>4265.7951880159299</v>
      </c>
      <c r="I39" s="8"/>
      <c r="J39" s="8"/>
    </row>
    <row r="40" spans="1:10" x14ac:dyDescent="0.2">
      <c r="A40" s="4">
        <v>2</v>
      </c>
      <c r="C40" s="4">
        <v>70</v>
      </c>
      <c r="D40" s="10">
        <v>5895</v>
      </c>
      <c r="E40" s="10">
        <v>5895</v>
      </c>
      <c r="F40" s="10" t="s">
        <v>38</v>
      </c>
      <c r="G40" s="13">
        <v>3.0199517204020165</v>
      </c>
      <c r="H40" s="13">
        <v>912.01083935590987</v>
      </c>
      <c r="I40" s="8"/>
      <c r="J40" s="8"/>
    </row>
    <row r="41" spans="1:10" x14ac:dyDescent="0.2">
      <c r="A41" s="4">
        <v>2</v>
      </c>
      <c r="C41" s="4">
        <v>70</v>
      </c>
      <c r="D41" s="10">
        <v>5896</v>
      </c>
      <c r="E41" s="10">
        <v>5896</v>
      </c>
      <c r="F41" s="10" t="s">
        <v>38</v>
      </c>
      <c r="G41" s="13">
        <v>3.0199517204020165</v>
      </c>
      <c r="H41" s="13">
        <v>3.0199517204020165</v>
      </c>
      <c r="I41" s="8"/>
      <c r="J41" s="8"/>
    </row>
    <row r="42" spans="1:10" x14ac:dyDescent="0.2">
      <c r="A42" s="4">
        <v>2</v>
      </c>
      <c r="C42" s="4">
        <v>70</v>
      </c>
      <c r="D42" s="10">
        <v>5897</v>
      </c>
      <c r="E42" s="10">
        <v>5897</v>
      </c>
      <c r="F42" s="10" t="s">
        <v>38</v>
      </c>
      <c r="G42" s="13">
        <v>891.25093813374656</v>
      </c>
      <c r="H42" s="13">
        <v>3.0199517204020165</v>
      </c>
      <c r="I42" s="8"/>
      <c r="J42" s="8"/>
    </row>
    <row r="43" spans="1:10" x14ac:dyDescent="0.2">
      <c r="A43" s="4">
        <v>2</v>
      </c>
      <c r="C43" s="4">
        <v>70</v>
      </c>
      <c r="D43" s="10">
        <v>5898</v>
      </c>
      <c r="E43" s="10">
        <v>5898</v>
      </c>
      <c r="F43" s="10" t="s">
        <v>38</v>
      </c>
      <c r="G43" s="13">
        <v>407.38027780411272</v>
      </c>
      <c r="H43" s="13">
        <v>3.0199517204020165</v>
      </c>
      <c r="I43" s="8"/>
      <c r="J43" s="8"/>
    </row>
    <row r="44" spans="1:10" x14ac:dyDescent="0.2">
      <c r="A44" s="4">
        <v>2</v>
      </c>
      <c r="C44" s="4">
        <v>70</v>
      </c>
      <c r="D44" s="10">
        <v>5899</v>
      </c>
      <c r="E44" s="10">
        <v>5899</v>
      </c>
      <c r="F44" s="10" t="s">
        <v>38</v>
      </c>
      <c r="G44" s="13">
        <v>162.18100973589304</v>
      </c>
      <c r="H44" s="13">
        <v>2511.8864315095811</v>
      </c>
      <c r="I44" s="8"/>
      <c r="J44" s="8"/>
    </row>
    <row r="45" spans="1:10" x14ac:dyDescent="0.2">
      <c r="A45" s="4">
        <v>2</v>
      </c>
      <c r="C45" s="4">
        <v>70</v>
      </c>
      <c r="D45" s="10">
        <v>5872</v>
      </c>
      <c r="E45" s="10">
        <v>5872</v>
      </c>
      <c r="F45" s="10" t="s">
        <v>48</v>
      </c>
      <c r="G45" s="13">
        <v>3.0199517204020165</v>
      </c>
      <c r="H45" s="13">
        <v>3.0199517204020165</v>
      </c>
      <c r="I45" s="8"/>
      <c r="J45" s="8"/>
    </row>
    <row r="46" spans="1:10" x14ac:dyDescent="0.2">
      <c r="A46" s="4">
        <v>2</v>
      </c>
      <c r="C46" s="4">
        <v>70</v>
      </c>
      <c r="D46" s="10">
        <v>5873</v>
      </c>
      <c r="E46" s="10">
        <v>5873</v>
      </c>
      <c r="F46" s="10" t="s">
        <v>48</v>
      </c>
      <c r="G46" s="13">
        <v>3.0199517204020165</v>
      </c>
      <c r="H46" s="13">
        <v>3.0199517204020165</v>
      </c>
      <c r="I46" s="8"/>
      <c r="J46" s="8"/>
    </row>
    <row r="47" spans="1:10" x14ac:dyDescent="0.2">
      <c r="A47" s="4">
        <v>2</v>
      </c>
      <c r="C47" s="4">
        <v>70</v>
      </c>
      <c r="D47" s="10">
        <v>5874</v>
      </c>
      <c r="E47" s="10">
        <v>5874</v>
      </c>
      <c r="F47" s="10" t="s">
        <v>48</v>
      </c>
      <c r="G47" s="13">
        <v>3.0199517204020165</v>
      </c>
      <c r="H47" s="13">
        <v>1096.4781961431863</v>
      </c>
      <c r="I47" s="8"/>
      <c r="J47" s="8"/>
    </row>
    <row r="48" spans="1:10" x14ac:dyDescent="0.2">
      <c r="A48" s="4">
        <v>2</v>
      </c>
      <c r="C48" s="4">
        <v>70</v>
      </c>
      <c r="D48" s="10">
        <v>5875</v>
      </c>
      <c r="E48" s="10">
        <v>5875</v>
      </c>
      <c r="F48" s="10" t="s">
        <v>48</v>
      </c>
      <c r="G48" s="13">
        <v>3.0199517204020165</v>
      </c>
      <c r="H48" s="13">
        <v>3.0199517204020165</v>
      </c>
      <c r="I48" s="8"/>
      <c r="J48" s="8"/>
    </row>
    <row r="49" spans="1:10" x14ac:dyDescent="0.2">
      <c r="A49" s="4">
        <v>2</v>
      </c>
      <c r="C49" s="4">
        <v>70</v>
      </c>
      <c r="D49" s="10">
        <v>5876</v>
      </c>
      <c r="E49" s="10">
        <v>5876</v>
      </c>
      <c r="F49" s="10" t="s">
        <v>48</v>
      </c>
      <c r="G49" s="13">
        <v>3.0199517204020165</v>
      </c>
      <c r="H49" s="13">
        <v>3.0199517204020165</v>
      </c>
      <c r="I49" s="8"/>
    </row>
    <row r="50" spans="1:10" x14ac:dyDescent="0.2">
      <c r="A50" s="4">
        <v>2</v>
      </c>
      <c r="C50" s="4">
        <v>70</v>
      </c>
      <c r="D50" s="10">
        <v>5877</v>
      </c>
      <c r="E50" s="10">
        <v>5877</v>
      </c>
      <c r="F50" s="10" t="s">
        <v>48</v>
      </c>
      <c r="G50" s="13">
        <v>3.0199517204020165</v>
      </c>
      <c r="H50" s="13">
        <v>3.0199517204020165</v>
      </c>
      <c r="I50" s="8"/>
    </row>
    <row r="51" spans="1:10" x14ac:dyDescent="0.2">
      <c r="A51" s="4">
        <v>2</v>
      </c>
      <c r="C51" s="4">
        <v>70</v>
      </c>
      <c r="D51" s="10">
        <v>5879</v>
      </c>
      <c r="E51" s="10">
        <v>5879</v>
      </c>
      <c r="F51" s="10" t="s">
        <v>48</v>
      </c>
      <c r="G51" s="13">
        <v>3.0199517204020165</v>
      </c>
      <c r="H51" s="13">
        <v>3.0199517204020165</v>
      </c>
      <c r="I51" s="8"/>
    </row>
    <row r="52" spans="1:10" x14ac:dyDescent="0.2">
      <c r="A52" s="4">
        <v>2</v>
      </c>
      <c r="C52" s="4">
        <v>70</v>
      </c>
      <c r="D52" s="10">
        <v>5880</v>
      </c>
      <c r="E52" s="10">
        <v>5880</v>
      </c>
      <c r="F52" s="10" t="s">
        <v>48</v>
      </c>
      <c r="G52" s="13">
        <v>3.0199517204020165</v>
      </c>
      <c r="H52" s="13">
        <v>3.0199517204020165</v>
      </c>
      <c r="I52" s="8"/>
    </row>
    <row r="53" spans="1:10" x14ac:dyDescent="0.2">
      <c r="A53" s="4">
        <v>2</v>
      </c>
      <c r="C53" s="4">
        <v>70</v>
      </c>
      <c r="D53" s="10">
        <v>5881</v>
      </c>
      <c r="E53" s="10">
        <v>5881</v>
      </c>
      <c r="F53" s="10" t="s">
        <v>48</v>
      </c>
      <c r="G53" s="13">
        <v>3.0199517204020165</v>
      </c>
      <c r="H53" s="13">
        <v>3.0199517204020165</v>
      </c>
      <c r="I53" s="8"/>
    </row>
    <row r="54" spans="1:10" x14ac:dyDescent="0.2">
      <c r="A54" s="4">
        <v>2</v>
      </c>
      <c r="C54" s="4">
        <v>70</v>
      </c>
      <c r="D54" s="10">
        <v>5882</v>
      </c>
      <c r="E54" s="10">
        <v>5882</v>
      </c>
      <c r="F54" s="10" t="s">
        <v>49</v>
      </c>
      <c r="G54" s="13">
        <v>3.0199517204020165</v>
      </c>
      <c r="H54" s="13">
        <v>3.0199517204020165</v>
      </c>
      <c r="I54" s="8"/>
    </row>
    <row r="55" spans="1:10" x14ac:dyDescent="0.2">
      <c r="A55" s="4">
        <v>2</v>
      </c>
      <c r="C55" s="4">
        <v>70</v>
      </c>
      <c r="D55" s="10">
        <v>5883</v>
      </c>
      <c r="E55" s="10">
        <v>5883</v>
      </c>
      <c r="F55" s="10" t="s">
        <v>49</v>
      </c>
      <c r="G55" s="13">
        <v>3.0199517204020165</v>
      </c>
      <c r="H55" s="13">
        <v>3.0199517204020165</v>
      </c>
      <c r="I55" s="8"/>
    </row>
    <row r="56" spans="1:10" x14ac:dyDescent="0.2">
      <c r="A56" s="4">
        <v>2</v>
      </c>
      <c r="C56" s="4">
        <v>70</v>
      </c>
      <c r="D56" s="10">
        <v>5884</v>
      </c>
      <c r="E56" s="10">
        <v>5884</v>
      </c>
      <c r="F56" s="10" t="s">
        <v>49</v>
      </c>
      <c r="G56" s="13">
        <v>3.0199517204020165</v>
      </c>
      <c r="H56" s="13">
        <v>3.0199517204020165</v>
      </c>
      <c r="I56" s="8"/>
    </row>
    <row r="57" spans="1:10" x14ac:dyDescent="0.2">
      <c r="A57" s="4">
        <v>2</v>
      </c>
      <c r="C57" s="4">
        <v>70</v>
      </c>
      <c r="D57" s="10">
        <v>5885</v>
      </c>
      <c r="E57" s="10">
        <v>5885</v>
      </c>
      <c r="F57" s="10" t="s">
        <v>49</v>
      </c>
      <c r="G57" s="13"/>
      <c r="H57" s="13"/>
      <c r="I57" s="8"/>
    </row>
    <row r="58" spans="1:10" x14ac:dyDescent="0.2">
      <c r="A58" s="4">
        <v>2</v>
      </c>
      <c r="C58" s="4">
        <v>70</v>
      </c>
      <c r="D58" s="10">
        <v>5886</v>
      </c>
      <c r="E58" s="10">
        <v>5886</v>
      </c>
      <c r="F58" s="10" t="s">
        <v>49</v>
      </c>
      <c r="G58" s="13">
        <v>181.9700858609983</v>
      </c>
      <c r="H58" s="13">
        <v>1258.925411794168</v>
      </c>
      <c r="I58" s="8"/>
      <c r="J58" s="8"/>
    </row>
    <row r="59" spans="1:10" x14ac:dyDescent="0.2">
      <c r="A59" s="4">
        <v>2</v>
      </c>
      <c r="C59" s="4">
        <v>70</v>
      </c>
      <c r="D59" s="10">
        <v>5887</v>
      </c>
      <c r="E59" s="10">
        <v>5887</v>
      </c>
      <c r="F59" s="10" t="s">
        <v>49</v>
      </c>
      <c r="G59" s="13">
        <v>3.0199517204020165</v>
      </c>
      <c r="H59" s="13">
        <v>3.0199517204020165</v>
      </c>
      <c r="I59" s="8"/>
      <c r="J59" s="8"/>
    </row>
    <row r="60" spans="1:10" x14ac:dyDescent="0.2">
      <c r="A60" s="4">
        <v>2</v>
      </c>
      <c r="C60" s="4">
        <v>70</v>
      </c>
      <c r="D60" s="10">
        <v>5888</v>
      </c>
      <c r="E60" s="10">
        <v>5888</v>
      </c>
      <c r="F60" s="10" t="s">
        <v>49</v>
      </c>
      <c r="G60" s="13">
        <v>3.0199517204020165</v>
      </c>
      <c r="H60" s="13">
        <v>3.0199517204020165</v>
      </c>
      <c r="I60" s="8"/>
      <c r="J60" s="8"/>
    </row>
    <row r="61" spans="1:10" x14ac:dyDescent="0.2">
      <c r="A61" s="4">
        <v>2</v>
      </c>
      <c r="C61" s="4">
        <v>70</v>
      </c>
      <c r="D61" s="10">
        <v>5889</v>
      </c>
      <c r="E61" s="10">
        <v>5889</v>
      </c>
      <c r="F61" s="10" t="s">
        <v>49</v>
      </c>
      <c r="G61" s="13">
        <v>81.283051616409963</v>
      </c>
      <c r="H61" s="13">
        <v>1698.2436524617447</v>
      </c>
      <c r="I61" s="8"/>
      <c r="J61" s="8"/>
    </row>
    <row r="62" spans="1:10" x14ac:dyDescent="0.2">
      <c r="A62" s="4">
        <v>2</v>
      </c>
      <c r="C62" s="4">
        <v>70</v>
      </c>
      <c r="D62" s="10">
        <v>5890</v>
      </c>
      <c r="E62" s="10">
        <v>5890</v>
      </c>
      <c r="F62" s="10" t="s">
        <v>49</v>
      </c>
      <c r="G62" s="13">
        <v>3.0199517204020165</v>
      </c>
      <c r="H62" s="13">
        <v>3.0199517204020165</v>
      </c>
      <c r="I62" s="8"/>
      <c r="J62" s="8"/>
    </row>
    <row r="64" spans="1:10" x14ac:dyDescent="0.2">
      <c r="G64" s="32" t="s">
        <v>40</v>
      </c>
      <c r="H64" s="32"/>
    </row>
    <row r="65" spans="1:10" x14ac:dyDescent="0.2">
      <c r="G65" s="6" t="s">
        <v>14</v>
      </c>
      <c r="H65" s="6" t="s">
        <v>37</v>
      </c>
    </row>
    <row r="66" spans="1:10" x14ac:dyDescent="0.2">
      <c r="A66" s="4">
        <v>3</v>
      </c>
      <c r="C66" s="4">
        <v>120</v>
      </c>
      <c r="D66" s="10">
        <v>6363</v>
      </c>
      <c r="E66" s="10">
        <v>1</v>
      </c>
      <c r="F66" s="4" t="s">
        <v>50</v>
      </c>
      <c r="G66" s="13">
        <v>2.9999982404594236</v>
      </c>
      <c r="H66" s="13">
        <v>22.877522966151478</v>
      </c>
      <c r="I66" s="8"/>
      <c r="J66" s="8"/>
    </row>
    <row r="67" spans="1:10" x14ac:dyDescent="0.2">
      <c r="A67" s="4">
        <v>3</v>
      </c>
      <c r="C67" s="4">
        <v>120</v>
      </c>
      <c r="D67" s="10">
        <v>6364</v>
      </c>
      <c r="E67" s="10">
        <f>E66+1</f>
        <v>2</v>
      </c>
      <c r="F67" s="4" t="s">
        <v>50</v>
      </c>
      <c r="G67" s="13">
        <v>2.9999982404594236</v>
      </c>
      <c r="H67" s="13">
        <v>23.205824315280147</v>
      </c>
      <c r="I67" s="8"/>
      <c r="J67" s="8"/>
    </row>
    <row r="68" spans="1:10" x14ac:dyDescent="0.2">
      <c r="A68" s="4">
        <v>3</v>
      </c>
      <c r="C68" s="4">
        <v>120</v>
      </c>
      <c r="D68" s="10">
        <v>6365</v>
      </c>
      <c r="E68" s="10">
        <f t="shared" ref="E68:E109" si="0">E67+1</f>
        <v>3</v>
      </c>
      <c r="F68" s="4" t="s">
        <v>50</v>
      </c>
      <c r="G68" s="13">
        <v>2.9999982404594236</v>
      </c>
      <c r="H68" s="13">
        <v>183.39901549403413</v>
      </c>
      <c r="I68" s="8"/>
      <c r="J68" s="8"/>
    </row>
    <row r="69" spans="1:10" x14ac:dyDescent="0.2">
      <c r="A69" s="4">
        <v>3</v>
      </c>
      <c r="C69" s="4">
        <v>120</v>
      </c>
      <c r="D69" s="10">
        <v>6367</v>
      </c>
      <c r="E69" s="10">
        <f t="shared" si="0"/>
        <v>4</v>
      </c>
      <c r="F69" s="4" t="s">
        <v>50</v>
      </c>
      <c r="G69" s="13">
        <v>2.9999982404594236</v>
      </c>
      <c r="H69" s="13">
        <v>2.9999982404594236</v>
      </c>
      <c r="I69" s="8"/>
      <c r="J69" s="8"/>
    </row>
    <row r="70" spans="1:10" x14ac:dyDescent="0.2">
      <c r="A70" s="4">
        <v>3</v>
      </c>
      <c r="C70" s="4">
        <v>120</v>
      </c>
      <c r="D70" s="10">
        <v>6368</v>
      </c>
      <c r="E70" s="10">
        <f t="shared" si="0"/>
        <v>5</v>
      </c>
      <c r="F70" s="4" t="s">
        <v>50</v>
      </c>
      <c r="G70" s="13">
        <v>2.9999982404594236</v>
      </c>
      <c r="H70" s="13">
        <v>2.9999982404594236</v>
      </c>
      <c r="I70" s="8"/>
      <c r="J70" s="8"/>
    </row>
    <row r="71" spans="1:10" x14ac:dyDescent="0.2">
      <c r="A71" s="4">
        <v>3</v>
      </c>
      <c r="C71" s="4">
        <v>120</v>
      </c>
      <c r="D71" s="10">
        <v>6370</v>
      </c>
      <c r="E71" s="10">
        <f t="shared" si="0"/>
        <v>6</v>
      </c>
      <c r="F71" s="4" t="s">
        <v>50</v>
      </c>
      <c r="G71" s="13">
        <v>2.9999982404594236</v>
      </c>
      <c r="H71" s="13">
        <v>61.469828295228105</v>
      </c>
      <c r="I71" s="8"/>
      <c r="J71" s="8"/>
    </row>
    <row r="72" spans="1:10" x14ac:dyDescent="0.2">
      <c r="A72" s="4">
        <v>3</v>
      </c>
      <c r="C72" s="4">
        <v>120</v>
      </c>
      <c r="D72" s="10">
        <v>6371</v>
      </c>
      <c r="E72" s="10">
        <f t="shared" si="0"/>
        <v>7</v>
      </c>
      <c r="F72" s="4" t="s">
        <v>50</v>
      </c>
      <c r="G72" s="13">
        <v>2.9999982404594236</v>
      </c>
      <c r="H72" s="13">
        <v>2.9999982404594236</v>
      </c>
      <c r="I72" s="8"/>
      <c r="J72" s="8"/>
    </row>
    <row r="73" spans="1:10" x14ac:dyDescent="0.2">
      <c r="A73" s="4">
        <v>3</v>
      </c>
      <c r="C73" s="4">
        <v>120</v>
      </c>
      <c r="D73" s="10">
        <v>6372</v>
      </c>
      <c r="E73" s="10">
        <f t="shared" si="0"/>
        <v>8</v>
      </c>
      <c r="F73" s="4" t="s">
        <v>50</v>
      </c>
      <c r="G73" s="13">
        <v>2.9999982404594236</v>
      </c>
      <c r="H73" s="13">
        <v>98.438276209565345</v>
      </c>
      <c r="I73" s="8"/>
      <c r="J73" s="8"/>
    </row>
    <row r="74" spans="1:10" x14ac:dyDescent="0.2">
      <c r="A74" s="4">
        <v>3</v>
      </c>
      <c r="C74" s="4">
        <v>120</v>
      </c>
      <c r="D74" s="10">
        <v>6373</v>
      </c>
      <c r="E74" s="10">
        <f t="shared" si="0"/>
        <v>9</v>
      </c>
      <c r="F74" s="4" t="s">
        <v>50</v>
      </c>
      <c r="G74" s="13">
        <v>4.0394291948366829</v>
      </c>
      <c r="H74" s="13">
        <v>2.9999982404594236</v>
      </c>
      <c r="I74" s="8"/>
      <c r="J74" s="8"/>
    </row>
    <row r="75" spans="1:10" x14ac:dyDescent="0.2">
      <c r="A75" s="4">
        <v>3</v>
      </c>
      <c r="C75" s="4">
        <v>120</v>
      </c>
      <c r="D75" s="10">
        <v>6374</v>
      </c>
      <c r="E75" s="10">
        <f t="shared" si="0"/>
        <v>10</v>
      </c>
      <c r="F75" s="4" t="s">
        <v>50</v>
      </c>
      <c r="G75" s="13">
        <v>2.9999982404594236</v>
      </c>
      <c r="H75" s="13">
        <v>57.623946691689689</v>
      </c>
      <c r="I75" s="8"/>
      <c r="J75" s="8"/>
    </row>
    <row r="76" spans="1:10" x14ac:dyDescent="0.2">
      <c r="A76" s="4">
        <v>3</v>
      </c>
      <c r="C76" s="4">
        <v>120</v>
      </c>
      <c r="D76" s="10">
        <v>6377</v>
      </c>
      <c r="E76" s="10">
        <f t="shared" si="0"/>
        <v>11</v>
      </c>
      <c r="F76" s="4" t="s">
        <v>50</v>
      </c>
      <c r="G76" s="13">
        <v>2.9999982404594236</v>
      </c>
      <c r="H76" s="13">
        <v>51.985473019222965</v>
      </c>
      <c r="I76" s="8"/>
      <c r="J76" s="8"/>
    </row>
    <row r="77" spans="1:10" x14ac:dyDescent="0.2">
      <c r="A77" s="4">
        <v>3</v>
      </c>
      <c r="C77" s="4">
        <v>120</v>
      </c>
      <c r="D77" s="10">
        <v>6366</v>
      </c>
      <c r="E77" s="10">
        <f t="shared" si="0"/>
        <v>12</v>
      </c>
      <c r="F77" s="4" t="s">
        <v>38</v>
      </c>
      <c r="G77" s="13">
        <v>2.9999982404594236</v>
      </c>
      <c r="H77" s="13">
        <v>90.870098748413255</v>
      </c>
      <c r="I77" s="8"/>
      <c r="J77" s="8"/>
    </row>
    <row r="78" spans="1:10" x14ac:dyDescent="0.2">
      <c r="A78" s="4">
        <v>3</v>
      </c>
      <c r="C78" s="4">
        <v>120</v>
      </c>
      <c r="D78" s="10">
        <v>6376</v>
      </c>
      <c r="E78" s="10">
        <f t="shared" si="0"/>
        <v>13</v>
      </c>
      <c r="F78" s="4" t="s">
        <v>38</v>
      </c>
      <c r="G78" s="13">
        <v>2.9999982404594236</v>
      </c>
      <c r="H78" s="13">
        <v>31.220007280226508</v>
      </c>
      <c r="I78" s="8"/>
      <c r="J78" s="8"/>
    </row>
    <row r="79" spans="1:10" x14ac:dyDescent="0.2">
      <c r="A79" s="4">
        <v>3</v>
      </c>
      <c r="C79" s="4">
        <v>120</v>
      </c>
      <c r="D79" s="10">
        <v>6378</v>
      </c>
      <c r="E79" s="10">
        <f t="shared" si="0"/>
        <v>14</v>
      </c>
      <c r="F79" s="4" t="s">
        <v>38</v>
      </c>
      <c r="G79" s="13">
        <v>2.9999982404594236</v>
      </c>
      <c r="H79" s="13">
        <v>33.197929628456023</v>
      </c>
      <c r="I79" s="8"/>
      <c r="J79" s="8"/>
    </row>
    <row r="80" spans="1:10" x14ac:dyDescent="0.2">
      <c r="A80" s="4">
        <v>3</v>
      </c>
      <c r="C80" s="4">
        <v>120</v>
      </c>
      <c r="D80" s="10">
        <v>6379</v>
      </c>
      <c r="E80" s="10">
        <f t="shared" si="0"/>
        <v>15</v>
      </c>
      <c r="F80" s="4" t="s">
        <v>38</v>
      </c>
      <c r="G80" s="13">
        <v>2.9999982404594236</v>
      </c>
      <c r="H80" s="13">
        <v>92.935149092831679</v>
      </c>
      <c r="I80" s="8"/>
      <c r="J80" s="8"/>
    </row>
    <row r="81" spans="1:10" x14ac:dyDescent="0.2">
      <c r="A81" s="4">
        <v>3</v>
      </c>
      <c r="C81" s="4">
        <v>120</v>
      </c>
      <c r="D81" s="10">
        <v>6380</v>
      </c>
      <c r="E81" s="10">
        <f t="shared" si="0"/>
        <v>16</v>
      </c>
      <c r="F81" s="4" t="s">
        <v>38</v>
      </c>
      <c r="G81" s="13">
        <v>20.315241994736443</v>
      </c>
      <c r="H81" s="13">
        <v>150.78321531152775</v>
      </c>
      <c r="I81" s="8"/>
      <c r="J81" s="8"/>
    </row>
    <row r="82" spans="1:10" x14ac:dyDescent="0.2">
      <c r="A82" s="4">
        <v>3</v>
      </c>
      <c r="C82" s="4">
        <v>120</v>
      </c>
      <c r="D82" s="10">
        <v>6381</v>
      </c>
      <c r="E82" s="10">
        <f t="shared" si="0"/>
        <v>17</v>
      </c>
      <c r="F82" s="4" t="s">
        <v>38</v>
      </c>
      <c r="G82" s="13">
        <v>2.9999982404594236</v>
      </c>
      <c r="H82" s="13">
        <v>2.9999982404594236</v>
      </c>
      <c r="I82" s="8"/>
      <c r="J82" s="8"/>
    </row>
    <row r="83" spans="1:10" x14ac:dyDescent="0.2">
      <c r="A83" s="4">
        <v>3</v>
      </c>
      <c r="C83" s="4">
        <v>120</v>
      </c>
      <c r="D83" s="10">
        <v>6382</v>
      </c>
      <c r="E83" s="10">
        <f t="shared" si="0"/>
        <v>18</v>
      </c>
      <c r="F83" s="4" t="s">
        <v>38</v>
      </c>
      <c r="G83" s="13">
        <v>2.9999982404594236</v>
      </c>
      <c r="H83" s="13">
        <v>2.9999982404594236</v>
      </c>
      <c r="I83" s="8"/>
      <c r="J83" s="8"/>
    </row>
    <row r="84" spans="1:10" x14ac:dyDescent="0.2">
      <c r="A84" s="4">
        <v>3</v>
      </c>
      <c r="C84" s="4">
        <v>120</v>
      </c>
      <c r="D84" s="10">
        <v>6383</v>
      </c>
      <c r="E84" s="10">
        <f t="shared" si="0"/>
        <v>19</v>
      </c>
      <c r="F84" s="4" t="s">
        <v>38</v>
      </c>
      <c r="G84" s="13">
        <v>2.9999982404594236</v>
      </c>
      <c r="H84" s="13">
        <v>81.368441918760794</v>
      </c>
      <c r="I84" s="8"/>
      <c r="J84" s="8"/>
    </row>
    <row r="85" spans="1:10" x14ac:dyDescent="0.2">
      <c r="A85" s="4">
        <v>3</v>
      </c>
      <c r="C85" s="4">
        <v>120</v>
      </c>
      <c r="D85" s="10">
        <v>6384</v>
      </c>
      <c r="E85" s="10">
        <f t="shared" si="0"/>
        <v>20</v>
      </c>
      <c r="F85" s="4" t="s">
        <v>38</v>
      </c>
      <c r="G85" s="13">
        <v>2.9999982404594236</v>
      </c>
      <c r="H85" s="13">
        <v>31.239854321738992</v>
      </c>
      <c r="I85" s="8"/>
      <c r="J85" s="8"/>
    </row>
    <row r="86" spans="1:10" x14ac:dyDescent="0.2">
      <c r="A86" s="4">
        <v>3</v>
      </c>
      <c r="C86" s="4">
        <v>120</v>
      </c>
      <c r="D86" s="10">
        <v>6385</v>
      </c>
      <c r="E86" s="10">
        <f t="shared" si="0"/>
        <v>21</v>
      </c>
      <c r="F86" s="4" t="s">
        <v>38</v>
      </c>
      <c r="G86" s="13">
        <v>2.9999982404594236</v>
      </c>
      <c r="H86" s="13">
        <v>22.780172059599916</v>
      </c>
      <c r="I86" s="8"/>
      <c r="J86" s="8"/>
    </row>
    <row r="87" spans="1:10" x14ac:dyDescent="0.2">
      <c r="A87" s="4">
        <v>3</v>
      </c>
      <c r="C87" s="4">
        <v>120</v>
      </c>
      <c r="D87" s="10">
        <v>6386</v>
      </c>
      <c r="E87" s="10">
        <f t="shared" si="0"/>
        <v>22</v>
      </c>
      <c r="F87" s="4" t="s">
        <v>38</v>
      </c>
      <c r="G87" s="13">
        <v>2.9999982404594236</v>
      </c>
      <c r="H87" s="13">
        <v>2.9999982404594236</v>
      </c>
      <c r="I87" s="8"/>
      <c r="J87" s="8"/>
    </row>
    <row r="88" spans="1:10" x14ac:dyDescent="0.2">
      <c r="A88" s="4">
        <v>3</v>
      </c>
      <c r="C88" s="4">
        <v>120</v>
      </c>
      <c r="D88" s="10">
        <v>6387</v>
      </c>
      <c r="E88" s="10">
        <f t="shared" si="0"/>
        <v>23</v>
      </c>
      <c r="F88" s="4" t="s">
        <v>51</v>
      </c>
      <c r="G88" s="13">
        <v>2.9999982404594236</v>
      </c>
      <c r="H88" s="13">
        <v>2.9999982404594236</v>
      </c>
      <c r="I88" s="8"/>
      <c r="J88" s="8"/>
    </row>
    <row r="89" spans="1:10" x14ac:dyDescent="0.2">
      <c r="A89" s="4">
        <v>3</v>
      </c>
      <c r="C89" s="4">
        <v>120</v>
      </c>
      <c r="D89" s="10">
        <v>6388</v>
      </c>
      <c r="E89" s="10">
        <f t="shared" si="0"/>
        <v>24</v>
      </c>
      <c r="F89" s="4" t="s">
        <v>51</v>
      </c>
      <c r="G89" s="13">
        <v>10.812646381821702</v>
      </c>
      <c r="H89" s="13">
        <v>316.03195664434412</v>
      </c>
      <c r="I89" s="8"/>
      <c r="J89" s="8"/>
    </row>
    <row r="90" spans="1:10" x14ac:dyDescent="0.2">
      <c r="A90" s="4">
        <v>3</v>
      </c>
      <c r="C90" s="4">
        <v>120</v>
      </c>
      <c r="D90" s="10">
        <v>6390</v>
      </c>
      <c r="E90" s="10">
        <f t="shared" si="0"/>
        <v>25</v>
      </c>
      <c r="F90" s="4" t="s">
        <v>51</v>
      </c>
      <c r="G90" s="13">
        <v>2.9999982404594236</v>
      </c>
      <c r="H90" s="13">
        <v>2.9999982404594236</v>
      </c>
      <c r="I90" s="8"/>
      <c r="J90" s="8"/>
    </row>
    <row r="91" spans="1:10" x14ac:dyDescent="0.2">
      <c r="A91" s="4">
        <v>3</v>
      </c>
      <c r="C91" s="4">
        <v>120</v>
      </c>
      <c r="D91" s="10">
        <v>6391</v>
      </c>
      <c r="E91" s="10">
        <f t="shared" si="0"/>
        <v>26</v>
      </c>
      <c r="F91" s="4" t="s">
        <v>51</v>
      </c>
      <c r="G91" s="13">
        <v>2.9999982404594236</v>
      </c>
      <c r="H91" s="13">
        <v>2.9999982404594236</v>
      </c>
      <c r="I91" s="8"/>
      <c r="J91" s="8"/>
    </row>
    <row r="92" spans="1:10" x14ac:dyDescent="0.2">
      <c r="A92" s="4">
        <v>3</v>
      </c>
      <c r="C92" s="4">
        <v>120</v>
      </c>
      <c r="D92" s="10">
        <v>6392</v>
      </c>
      <c r="E92" s="10">
        <f t="shared" si="0"/>
        <v>27</v>
      </c>
      <c r="F92" s="4" t="s">
        <v>51</v>
      </c>
      <c r="G92" s="13">
        <v>2.9999982404594236</v>
      </c>
      <c r="H92" s="13">
        <v>304.48156277609348</v>
      </c>
      <c r="I92" s="8"/>
      <c r="J92" s="8"/>
    </row>
    <row r="93" spans="1:10" x14ac:dyDescent="0.2">
      <c r="A93" s="4">
        <v>3</v>
      </c>
      <c r="C93" s="4">
        <v>120</v>
      </c>
      <c r="D93" s="10">
        <v>6393</v>
      </c>
      <c r="E93" s="10">
        <f t="shared" si="0"/>
        <v>28</v>
      </c>
      <c r="F93" s="4" t="s">
        <v>51</v>
      </c>
      <c r="G93" s="13">
        <v>2.9999982404594236</v>
      </c>
      <c r="H93" s="13">
        <v>186.40604840304908</v>
      </c>
      <c r="I93" s="8"/>
      <c r="J93" s="8"/>
    </row>
    <row r="94" spans="1:10" x14ac:dyDescent="0.2">
      <c r="A94" s="4">
        <v>3</v>
      </c>
      <c r="C94" s="4">
        <v>120</v>
      </c>
      <c r="D94" s="10">
        <v>6394</v>
      </c>
      <c r="E94" s="10">
        <f t="shared" si="0"/>
        <v>29</v>
      </c>
      <c r="F94" s="4" t="s">
        <v>51</v>
      </c>
      <c r="G94" s="13">
        <v>2.9999982404594236</v>
      </c>
      <c r="H94" s="13">
        <v>2.9999982404594236</v>
      </c>
      <c r="I94" s="8"/>
      <c r="J94" s="8"/>
    </row>
    <row r="95" spans="1:10" x14ac:dyDescent="0.2">
      <c r="A95" s="4">
        <v>3</v>
      </c>
      <c r="C95" s="4">
        <v>120</v>
      </c>
      <c r="D95" s="10">
        <v>6395</v>
      </c>
      <c r="E95" s="10">
        <f t="shared" si="0"/>
        <v>30</v>
      </c>
      <c r="F95" s="4" t="s">
        <v>51</v>
      </c>
      <c r="G95" s="13">
        <v>2.9999982404594236</v>
      </c>
      <c r="H95" s="13">
        <v>2.9999982404594236</v>
      </c>
      <c r="I95" s="8"/>
      <c r="J95" s="8"/>
    </row>
    <row r="96" spans="1:10" x14ac:dyDescent="0.2">
      <c r="A96" s="4">
        <v>3</v>
      </c>
      <c r="C96" s="4">
        <v>120</v>
      </c>
      <c r="D96" s="10">
        <v>6396</v>
      </c>
      <c r="E96" s="10">
        <f t="shared" si="0"/>
        <v>31</v>
      </c>
      <c r="F96" s="4" t="s">
        <v>51</v>
      </c>
      <c r="G96" s="13">
        <v>2.9999982404594236</v>
      </c>
      <c r="H96" s="13">
        <v>2.9999982404594236</v>
      </c>
      <c r="I96" s="8"/>
      <c r="J96" s="8"/>
    </row>
    <row r="97" spans="1:10" x14ac:dyDescent="0.2">
      <c r="A97" s="4">
        <v>3</v>
      </c>
      <c r="C97" s="4">
        <v>120</v>
      </c>
      <c r="D97" s="10">
        <v>6397</v>
      </c>
      <c r="E97" s="10">
        <f t="shared" si="0"/>
        <v>32</v>
      </c>
      <c r="F97" s="4" t="s">
        <v>51</v>
      </c>
      <c r="G97" s="13">
        <v>2.9999982404594236</v>
      </c>
      <c r="H97" s="13">
        <v>237.93317505613885</v>
      </c>
      <c r="I97" s="8"/>
      <c r="J97" s="8"/>
    </row>
    <row r="98" spans="1:10" x14ac:dyDescent="0.2">
      <c r="A98" s="4">
        <v>3</v>
      </c>
      <c r="C98" s="4">
        <v>120</v>
      </c>
      <c r="D98" s="10">
        <v>6398</v>
      </c>
      <c r="E98" s="10">
        <f t="shared" si="0"/>
        <v>33</v>
      </c>
      <c r="F98" s="4" t="s">
        <v>51</v>
      </c>
      <c r="G98" s="13">
        <v>2.9999982404594236</v>
      </c>
      <c r="H98" s="13">
        <v>2.9999982404594236</v>
      </c>
      <c r="I98" s="8"/>
      <c r="J98" s="8"/>
    </row>
    <row r="99" spans="1:10" x14ac:dyDescent="0.2">
      <c r="A99" s="4">
        <v>3</v>
      </c>
      <c r="C99" s="4">
        <v>120</v>
      </c>
      <c r="D99" s="10">
        <v>6399</v>
      </c>
      <c r="E99" s="10">
        <f t="shared" si="0"/>
        <v>34</v>
      </c>
      <c r="F99" s="4" t="s">
        <v>52</v>
      </c>
      <c r="G99" s="13">
        <v>2.9999982404594236</v>
      </c>
      <c r="H99" s="13">
        <v>2.9999982404594236</v>
      </c>
      <c r="I99" s="8"/>
      <c r="J99" s="8"/>
    </row>
    <row r="100" spans="1:10" x14ac:dyDescent="0.2">
      <c r="A100" s="4">
        <v>3</v>
      </c>
      <c r="C100" s="4">
        <v>120</v>
      </c>
      <c r="D100" s="10">
        <v>6400</v>
      </c>
      <c r="E100" s="10">
        <f t="shared" si="0"/>
        <v>35</v>
      </c>
      <c r="F100" s="4" t="s">
        <v>52</v>
      </c>
      <c r="G100" s="13">
        <v>2.9999982404594236</v>
      </c>
      <c r="H100" s="13">
        <v>2.9999982404594236</v>
      </c>
      <c r="I100" s="8"/>
      <c r="J100" s="8"/>
    </row>
    <row r="101" spans="1:10" x14ac:dyDescent="0.2">
      <c r="A101" s="4">
        <v>3</v>
      </c>
      <c r="C101" s="4">
        <v>120</v>
      </c>
      <c r="D101" s="10">
        <v>6401</v>
      </c>
      <c r="E101" s="10">
        <f t="shared" si="0"/>
        <v>36</v>
      </c>
      <c r="F101" s="4" t="s">
        <v>52</v>
      </c>
      <c r="G101" s="13">
        <v>2.9999982404594236</v>
      </c>
      <c r="H101" s="13">
        <v>2.9999982404594236</v>
      </c>
      <c r="I101" s="8"/>
      <c r="J101" s="8"/>
    </row>
    <row r="102" spans="1:10" x14ac:dyDescent="0.2">
      <c r="A102" s="4">
        <v>3</v>
      </c>
      <c r="C102" s="4">
        <v>120</v>
      </c>
      <c r="D102" s="10">
        <v>6402</v>
      </c>
      <c r="E102" s="10">
        <f t="shared" si="0"/>
        <v>37</v>
      </c>
      <c r="F102" s="4" t="s">
        <v>52</v>
      </c>
      <c r="G102" s="13">
        <v>2.9999982404594236</v>
      </c>
      <c r="H102" s="13">
        <v>2.9999982404594236</v>
      </c>
      <c r="I102" s="8"/>
      <c r="J102" s="8"/>
    </row>
    <row r="103" spans="1:10" x14ac:dyDescent="0.2">
      <c r="A103" s="4">
        <v>3</v>
      </c>
      <c r="C103" s="4">
        <v>120</v>
      </c>
      <c r="D103" s="10">
        <v>6404</v>
      </c>
      <c r="E103" s="10">
        <f t="shared" si="0"/>
        <v>38</v>
      </c>
      <c r="F103" s="4" t="s">
        <v>52</v>
      </c>
      <c r="G103" s="13">
        <v>2.9999982404594236</v>
      </c>
      <c r="H103" s="13">
        <v>2.9999982404594236</v>
      </c>
      <c r="I103" s="8"/>
      <c r="J103" s="8"/>
    </row>
    <row r="104" spans="1:10" x14ac:dyDescent="0.2">
      <c r="A104" s="4">
        <v>3</v>
      </c>
      <c r="C104" s="4">
        <v>120</v>
      </c>
      <c r="D104" s="10">
        <v>6405</v>
      </c>
      <c r="E104" s="10">
        <f t="shared" si="0"/>
        <v>39</v>
      </c>
      <c r="F104" s="4" t="s">
        <v>52</v>
      </c>
      <c r="G104" s="13">
        <v>2.9999982404594236</v>
      </c>
      <c r="H104" s="13">
        <v>2.9999982404594236</v>
      </c>
      <c r="I104" s="8"/>
      <c r="J104" s="8"/>
    </row>
    <row r="105" spans="1:10" x14ac:dyDescent="0.2">
      <c r="A105" s="4">
        <v>3</v>
      </c>
      <c r="C105" s="4">
        <v>120</v>
      </c>
      <c r="D105" s="10">
        <v>6406</v>
      </c>
      <c r="E105" s="10">
        <f t="shared" si="0"/>
        <v>40</v>
      </c>
      <c r="F105" s="4" t="s">
        <v>52</v>
      </c>
      <c r="G105" s="13">
        <v>2.9999982404594236</v>
      </c>
      <c r="H105" s="13">
        <v>2.9999982404594236</v>
      </c>
      <c r="I105" s="8"/>
      <c r="J105" s="8"/>
    </row>
    <row r="106" spans="1:10" x14ac:dyDescent="0.2">
      <c r="A106" s="4">
        <v>3</v>
      </c>
      <c r="C106" s="4">
        <v>120</v>
      </c>
      <c r="D106" s="10">
        <v>6407</v>
      </c>
      <c r="E106" s="10">
        <f t="shared" si="0"/>
        <v>41</v>
      </c>
      <c r="F106" s="4" t="s">
        <v>52</v>
      </c>
      <c r="G106" s="13">
        <v>2.9999982404594236</v>
      </c>
      <c r="H106" s="13">
        <v>2.9999982404594236</v>
      </c>
      <c r="I106" s="8"/>
      <c r="J106" s="8"/>
    </row>
    <row r="107" spans="1:10" x14ac:dyDescent="0.2">
      <c r="A107" s="4">
        <v>3</v>
      </c>
      <c r="C107" s="4">
        <v>120</v>
      </c>
      <c r="D107" s="10">
        <v>6408</v>
      </c>
      <c r="E107" s="10">
        <f t="shared" si="0"/>
        <v>42</v>
      </c>
      <c r="F107" s="4" t="s">
        <v>52</v>
      </c>
      <c r="G107" s="13">
        <v>2.9999982404594236</v>
      </c>
      <c r="H107" s="13">
        <v>2.9999982404594236</v>
      </c>
      <c r="I107" s="8"/>
      <c r="J107" s="8"/>
    </row>
    <row r="108" spans="1:10" x14ac:dyDescent="0.2">
      <c r="A108" s="4">
        <v>3</v>
      </c>
      <c r="C108" s="4">
        <v>120</v>
      </c>
      <c r="D108" s="10">
        <v>6409</v>
      </c>
      <c r="E108" s="10">
        <f t="shared" si="0"/>
        <v>43</v>
      </c>
      <c r="F108" s="4" t="s">
        <v>52</v>
      </c>
      <c r="G108" s="13">
        <v>2.9999982404594236</v>
      </c>
      <c r="H108" s="13">
        <v>2.9999982404594236</v>
      </c>
      <c r="I108" s="8"/>
      <c r="J108" s="8"/>
    </row>
    <row r="109" spans="1:10" x14ac:dyDescent="0.2">
      <c r="A109" s="4">
        <v>3</v>
      </c>
      <c r="C109" s="4">
        <v>120</v>
      </c>
      <c r="D109" s="10">
        <v>6410</v>
      </c>
      <c r="E109" s="10">
        <f t="shared" si="0"/>
        <v>44</v>
      </c>
      <c r="F109" s="4" t="s">
        <v>52</v>
      </c>
      <c r="G109" s="13">
        <v>2.9999982404594236</v>
      </c>
      <c r="H109" s="13">
        <v>2.9999982404594236</v>
      </c>
      <c r="I109" s="8"/>
      <c r="J109" s="8"/>
    </row>
  </sheetData>
  <mergeCells count="3">
    <mergeCell ref="G1:J1"/>
    <mergeCell ref="G25:H25"/>
    <mergeCell ref="G64:H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O27"/>
  <sheetViews>
    <sheetView workbookViewId="0">
      <selection activeCell="F13" sqref="F13"/>
    </sheetView>
  </sheetViews>
  <sheetFormatPr baseColWidth="10" defaultRowHeight="16" x14ac:dyDescent="0.2"/>
  <cols>
    <col min="1" max="4" width="10.7109375" style="10"/>
    <col min="5" max="8" width="14.140625" style="10" customWidth="1"/>
    <col min="9" max="9" width="10.7109375" style="10"/>
    <col min="10" max="11" width="13.28515625" style="10" customWidth="1"/>
    <col min="12" max="13" width="12.5703125" style="10" customWidth="1"/>
    <col min="14" max="16384" width="10.7109375" style="10"/>
  </cols>
  <sheetData>
    <row r="2" spans="1:41" s="7" customFormat="1" x14ac:dyDescent="0.2">
      <c r="D2" s="11"/>
      <c r="I2" s="14"/>
      <c r="K2" s="11"/>
      <c r="M2" s="7" t="s">
        <v>30</v>
      </c>
      <c r="N2" s="7">
        <v>595</v>
      </c>
      <c r="O2" s="7">
        <v>602</v>
      </c>
      <c r="P2" s="7">
        <v>609</v>
      </c>
      <c r="Q2" s="7">
        <v>616</v>
      </c>
      <c r="R2" s="7">
        <v>623</v>
      </c>
      <c r="S2" s="7">
        <v>630</v>
      </c>
      <c r="T2" s="7">
        <v>644</v>
      </c>
      <c r="U2" s="7">
        <v>651</v>
      </c>
      <c r="V2" s="7">
        <v>658</v>
      </c>
      <c r="W2" s="7">
        <v>665</v>
      </c>
      <c r="X2" s="7">
        <v>672</v>
      </c>
    </row>
    <row r="3" spans="1:41" s="7" customFormat="1" ht="48" x14ac:dyDescent="0.2">
      <c r="A3" s="7" t="s">
        <v>0</v>
      </c>
      <c r="B3" s="7" t="s">
        <v>68</v>
      </c>
      <c r="C3" s="7" t="s">
        <v>1</v>
      </c>
      <c r="D3" s="11" t="s">
        <v>67</v>
      </c>
      <c r="E3" s="7" t="s">
        <v>10</v>
      </c>
      <c r="F3" s="14" t="s">
        <v>35</v>
      </c>
      <c r="G3" s="14" t="s">
        <v>34</v>
      </c>
      <c r="H3" s="14" t="s">
        <v>36</v>
      </c>
      <c r="I3" s="14" t="s">
        <v>32</v>
      </c>
      <c r="J3" s="14" t="s">
        <v>33</v>
      </c>
      <c r="K3" s="14" t="s">
        <v>98</v>
      </c>
      <c r="M3" s="7" t="s">
        <v>31</v>
      </c>
      <c r="N3" s="7">
        <f>N2-$N$2</f>
        <v>0</v>
      </c>
      <c r="O3" s="7">
        <f t="shared" ref="O3:X3" si="0">O2-$N$2</f>
        <v>7</v>
      </c>
      <c r="P3" s="7">
        <f t="shared" si="0"/>
        <v>14</v>
      </c>
      <c r="Q3" s="7">
        <f t="shared" si="0"/>
        <v>21</v>
      </c>
      <c r="R3" s="7">
        <f t="shared" si="0"/>
        <v>28</v>
      </c>
      <c r="S3" s="7">
        <f t="shared" si="0"/>
        <v>35</v>
      </c>
      <c r="T3" s="7">
        <f t="shared" si="0"/>
        <v>49</v>
      </c>
      <c r="U3" s="7">
        <f t="shared" si="0"/>
        <v>56</v>
      </c>
      <c r="V3" s="7">
        <f t="shared" si="0"/>
        <v>63</v>
      </c>
      <c r="W3" s="7">
        <f t="shared" si="0"/>
        <v>70</v>
      </c>
      <c r="X3" s="7">
        <f t="shared" si="0"/>
        <v>77</v>
      </c>
    </row>
    <row r="4" spans="1:41" x14ac:dyDescent="0.2">
      <c r="A4" s="10">
        <v>1</v>
      </c>
      <c r="B4" s="10" t="s">
        <v>2</v>
      </c>
      <c r="C4" s="10" t="s">
        <v>3</v>
      </c>
      <c r="D4" s="10">
        <v>1</v>
      </c>
      <c r="E4" s="10" t="s">
        <v>53</v>
      </c>
      <c r="F4" s="10">
        <v>1760.56</v>
      </c>
      <c r="G4" s="10">
        <f>N4</f>
        <v>918.16000000000008</v>
      </c>
      <c r="H4" s="12">
        <f>G4/F4</f>
        <v>0.5215158813104922</v>
      </c>
      <c r="I4" s="10">
        <f>MIN(N4:X4)</f>
        <v>471.70000000000005</v>
      </c>
      <c r="J4" s="15">
        <f>I4/G4</f>
        <v>0.51374488106648075</v>
      </c>
      <c r="K4" s="23">
        <v>0.54400000000000004</v>
      </c>
      <c r="N4" s="10">
        <v>918.16000000000008</v>
      </c>
      <c r="O4" s="10">
        <v>1177.77</v>
      </c>
      <c r="P4" s="10">
        <v>785.56</v>
      </c>
      <c r="Q4" s="10">
        <v>571.59</v>
      </c>
      <c r="R4" s="10">
        <v>725.87999999999988</v>
      </c>
      <c r="S4" s="10">
        <v>652.38</v>
      </c>
      <c r="T4" s="10">
        <v>542.05000000000007</v>
      </c>
      <c r="U4" s="10">
        <v>471.70000000000005</v>
      </c>
      <c r="V4" s="10">
        <v>535.5</v>
      </c>
      <c r="W4" s="10">
        <v>688.60000000000014</v>
      </c>
      <c r="X4" s="10">
        <v>718.74</v>
      </c>
    </row>
    <row r="5" spans="1:41" x14ac:dyDescent="0.2">
      <c r="A5" s="10">
        <v>1</v>
      </c>
      <c r="B5" s="10" t="s">
        <v>2</v>
      </c>
      <c r="C5" s="10" t="s">
        <v>4</v>
      </c>
      <c r="D5" s="10">
        <v>2</v>
      </c>
      <c r="E5" s="10" t="s">
        <v>53</v>
      </c>
      <c r="F5" s="10">
        <v>737.1</v>
      </c>
      <c r="G5" s="10">
        <f t="shared" ref="G5:G10" si="1">N5</f>
        <v>930.26</v>
      </c>
      <c r="H5" s="12">
        <f t="shared" ref="H5:H10" si="2">G5/F5</f>
        <v>1.2620539953873287</v>
      </c>
      <c r="I5" s="10">
        <f t="shared" ref="I5:I13" si="3">MIN(N5:X5)</f>
        <v>876.15000000000009</v>
      </c>
      <c r="J5" s="15">
        <f t="shared" ref="J5:J10" si="4">I5/G5</f>
        <v>0.94183346591275563</v>
      </c>
      <c r="K5" s="23">
        <v>1.37</v>
      </c>
      <c r="N5" s="10">
        <v>930.26</v>
      </c>
      <c r="O5" s="10">
        <v>1353.3400000000001</v>
      </c>
      <c r="P5" s="10">
        <v>1297.99</v>
      </c>
      <c r="Q5" s="10">
        <v>876.15000000000009</v>
      </c>
      <c r="R5" s="10">
        <v>1072</v>
      </c>
      <c r="S5" s="10">
        <v>881.93</v>
      </c>
      <c r="T5" s="10">
        <v>886.82999999999993</v>
      </c>
      <c r="U5" s="10">
        <v>1219.0399999999997</v>
      </c>
      <c r="V5" s="10">
        <v>1281.2800000000002</v>
      </c>
      <c r="W5" s="10">
        <v>1161.27</v>
      </c>
      <c r="X5" s="10">
        <v>1012.6800000000001</v>
      </c>
    </row>
    <row r="6" spans="1:41" x14ac:dyDescent="0.2">
      <c r="A6" s="10">
        <v>1</v>
      </c>
      <c r="B6" s="10" t="s">
        <v>2</v>
      </c>
      <c r="C6" s="10" t="s">
        <v>5</v>
      </c>
      <c r="D6" s="10">
        <v>3</v>
      </c>
      <c r="E6" s="10" t="s">
        <v>53</v>
      </c>
      <c r="F6" s="10">
        <v>1555.7</v>
      </c>
      <c r="G6" s="10">
        <f t="shared" si="1"/>
        <v>1591.6499999999999</v>
      </c>
      <c r="H6" s="12">
        <f t="shared" si="2"/>
        <v>1.0231085684900687</v>
      </c>
      <c r="I6" s="10">
        <f t="shared" si="3"/>
        <v>904.5</v>
      </c>
      <c r="J6" s="15">
        <f t="shared" si="4"/>
        <v>0.56827820186598821</v>
      </c>
      <c r="K6" s="23">
        <v>0.42799999999999999</v>
      </c>
      <c r="N6" s="10">
        <v>1591.6499999999999</v>
      </c>
      <c r="O6" s="10">
        <v>1682.2299999999998</v>
      </c>
      <c r="P6" s="10">
        <v>1403.65</v>
      </c>
      <c r="Q6" s="10">
        <v>1254.9199999999998</v>
      </c>
      <c r="R6" s="10">
        <v>1290</v>
      </c>
      <c r="S6" s="10">
        <v>904.5</v>
      </c>
      <c r="T6" s="10">
        <v>1130.19</v>
      </c>
      <c r="U6" s="10">
        <v>1068.57</v>
      </c>
      <c r="V6" s="10">
        <v>1259.8999999999999</v>
      </c>
      <c r="W6" s="10">
        <v>1188.1799999999998</v>
      </c>
      <c r="X6" s="10">
        <v>1148.4000000000001</v>
      </c>
    </row>
    <row r="7" spans="1:41" x14ac:dyDescent="0.2">
      <c r="A7" s="10">
        <v>1</v>
      </c>
      <c r="B7" s="10" t="s">
        <v>2</v>
      </c>
      <c r="C7" s="10" t="s">
        <v>6</v>
      </c>
      <c r="D7" s="10">
        <v>4</v>
      </c>
      <c r="E7" s="10" t="s">
        <v>53</v>
      </c>
      <c r="F7" s="10">
        <v>1514.34</v>
      </c>
      <c r="G7" s="10">
        <f t="shared" si="1"/>
        <v>904.75</v>
      </c>
      <c r="H7" s="12">
        <f t="shared" si="2"/>
        <v>0.59745499689633774</v>
      </c>
      <c r="I7" s="10">
        <f t="shared" si="3"/>
        <v>378.2</v>
      </c>
      <c r="J7" s="15">
        <f t="shared" si="4"/>
        <v>0.41801602652666481</v>
      </c>
      <c r="K7" s="23">
        <v>0.65500000000000003</v>
      </c>
      <c r="N7" s="10">
        <v>904.75</v>
      </c>
      <c r="O7" s="10">
        <v>1390.6200000000001</v>
      </c>
      <c r="P7" s="10">
        <v>994.67999999999984</v>
      </c>
      <c r="Q7" s="10">
        <v>784.80000000000007</v>
      </c>
      <c r="R7" s="10">
        <v>792.95999999999992</v>
      </c>
      <c r="S7" s="10">
        <v>483.6</v>
      </c>
      <c r="T7" s="10">
        <v>391.91999999999996</v>
      </c>
      <c r="U7" s="10">
        <v>631.79999999999995</v>
      </c>
      <c r="V7" s="10">
        <v>450.64</v>
      </c>
      <c r="W7" s="10">
        <v>378.2</v>
      </c>
      <c r="X7" s="10">
        <v>414.09</v>
      </c>
    </row>
    <row r="8" spans="1:41" x14ac:dyDescent="0.2">
      <c r="A8" s="10">
        <v>1</v>
      </c>
      <c r="B8" s="10" t="s">
        <v>2</v>
      </c>
      <c r="C8" s="10" t="s">
        <v>7</v>
      </c>
      <c r="D8" s="10">
        <v>5</v>
      </c>
      <c r="E8" s="10" t="s">
        <v>50</v>
      </c>
      <c r="F8" s="10">
        <v>412.92</v>
      </c>
      <c r="G8" s="10">
        <f t="shared" si="1"/>
        <v>472</v>
      </c>
      <c r="H8" s="12">
        <f t="shared" si="2"/>
        <v>1.143078562433401</v>
      </c>
      <c r="I8" s="10">
        <f t="shared" si="3"/>
        <v>472</v>
      </c>
      <c r="J8" s="15">
        <f t="shared" si="4"/>
        <v>1</v>
      </c>
      <c r="K8" s="23">
        <v>0.99299999999999999</v>
      </c>
      <c r="N8" s="10">
        <v>472</v>
      </c>
      <c r="O8" s="10">
        <v>639.17999999999995</v>
      </c>
      <c r="P8" s="10">
        <v>651.78</v>
      </c>
      <c r="Q8" s="10">
        <v>747.72</v>
      </c>
      <c r="R8" s="10">
        <v>529.82999999999993</v>
      </c>
      <c r="S8" s="10">
        <v>572</v>
      </c>
      <c r="T8" s="10">
        <v>500.19999999999993</v>
      </c>
      <c r="U8" s="10">
        <v>522.5</v>
      </c>
      <c r="V8" s="10">
        <v>642.72</v>
      </c>
      <c r="W8" s="10">
        <v>565.47</v>
      </c>
      <c r="X8" s="10">
        <v>493.82999999999993</v>
      </c>
    </row>
    <row r="9" spans="1:41" x14ac:dyDescent="0.2">
      <c r="A9" s="10">
        <v>1</v>
      </c>
      <c r="B9" s="10" t="s">
        <v>2</v>
      </c>
      <c r="C9" s="10" t="s">
        <v>8</v>
      </c>
      <c r="D9" s="10">
        <v>6</v>
      </c>
      <c r="E9" s="10" t="s">
        <v>50</v>
      </c>
      <c r="F9" s="10">
        <v>441</v>
      </c>
      <c r="G9" s="10">
        <f t="shared" si="1"/>
        <v>587.52</v>
      </c>
      <c r="H9" s="12">
        <f t="shared" si="2"/>
        <v>1.3322448979591837</v>
      </c>
      <c r="I9" s="10">
        <f t="shared" si="3"/>
        <v>492.68000000000006</v>
      </c>
      <c r="J9" s="15">
        <f t="shared" si="4"/>
        <v>0.83857570806100235</v>
      </c>
      <c r="K9" s="23">
        <v>0.51500000000000001</v>
      </c>
      <c r="N9" s="10">
        <v>587.52</v>
      </c>
      <c r="O9" s="10">
        <v>1306.0300000000002</v>
      </c>
      <c r="P9" s="10">
        <v>1084.2000000000003</v>
      </c>
      <c r="Q9" s="10">
        <v>944.57999999999993</v>
      </c>
      <c r="R9" s="10">
        <v>829.02</v>
      </c>
      <c r="S9" s="10">
        <v>492.68000000000006</v>
      </c>
      <c r="T9" s="10">
        <v>670.14</v>
      </c>
      <c r="U9" s="10">
        <v>710.4799999999999</v>
      </c>
      <c r="V9" s="10">
        <v>779.58000000000015</v>
      </c>
      <c r="W9" s="10">
        <v>911.52</v>
      </c>
      <c r="X9" s="10">
        <v>860.72</v>
      </c>
    </row>
    <row r="10" spans="1:41" x14ac:dyDescent="0.2">
      <c r="A10" s="10">
        <v>1</v>
      </c>
      <c r="B10" s="10" t="s">
        <v>2</v>
      </c>
      <c r="C10" s="10" t="s">
        <v>9</v>
      </c>
      <c r="D10" s="10">
        <v>7</v>
      </c>
      <c r="E10" s="10" t="s">
        <v>50</v>
      </c>
      <c r="F10" s="10">
        <v>2907.2000000000003</v>
      </c>
      <c r="G10" s="10">
        <f t="shared" si="1"/>
        <v>1199.7</v>
      </c>
      <c r="H10" s="12">
        <f t="shared" si="2"/>
        <v>0.41266510731975781</v>
      </c>
      <c r="I10" s="10">
        <f t="shared" si="3"/>
        <v>559.12</v>
      </c>
      <c r="J10" s="15">
        <f t="shared" si="4"/>
        <v>0.46604984579478204</v>
      </c>
      <c r="K10" s="23">
        <v>1.21</v>
      </c>
      <c r="N10" s="10">
        <v>1199.7</v>
      </c>
      <c r="O10" s="10">
        <v>1381.12</v>
      </c>
      <c r="P10" s="10">
        <v>1055.3399999999999</v>
      </c>
      <c r="Q10" s="10">
        <v>878.5</v>
      </c>
      <c r="R10" s="10">
        <v>734.41000000000008</v>
      </c>
      <c r="S10" s="10">
        <v>624.9899999999999</v>
      </c>
      <c r="T10" s="10">
        <v>712.5</v>
      </c>
      <c r="U10" s="10">
        <v>621</v>
      </c>
      <c r="V10" s="10">
        <v>565.63</v>
      </c>
      <c r="W10" s="10">
        <v>614.4</v>
      </c>
      <c r="X10" s="10">
        <v>559.12</v>
      </c>
    </row>
    <row r="11" spans="1:41" x14ac:dyDescent="0.2">
      <c r="A11" s="10">
        <v>1</v>
      </c>
      <c r="B11" s="10" t="s">
        <v>2</v>
      </c>
      <c r="C11" s="10" t="s">
        <v>27</v>
      </c>
      <c r="D11" s="10">
        <v>8</v>
      </c>
      <c r="E11" s="10" t="s">
        <v>50</v>
      </c>
      <c r="F11" s="10">
        <v>1264.8</v>
      </c>
      <c r="H11" s="12"/>
      <c r="I11" s="10">
        <f t="shared" si="3"/>
        <v>482.23999999999995</v>
      </c>
      <c r="J11" s="15"/>
      <c r="K11" s="23"/>
      <c r="O11" s="10">
        <v>927.14</v>
      </c>
      <c r="Q11" s="10">
        <v>871.19999999999993</v>
      </c>
      <c r="R11" s="10">
        <v>814.68000000000006</v>
      </c>
      <c r="S11" s="10">
        <v>518.90999999999985</v>
      </c>
      <c r="T11" s="10">
        <v>482.23999999999995</v>
      </c>
    </row>
    <row r="12" spans="1:41" x14ac:dyDescent="0.2">
      <c r="A12" s="10">
        <v>1</v>
      </c>
      <c r="B12" s="10" t="s">
        <v>2</v>
      </c>
      <c r="C12" s="10" t="s">
        <v>28</v>
      </c>
      <c r="D12" s="10">
        <v>9</v>
      </c>
      <c r="E12" s="10" t="s">
        <v>50</v>
      </c>
      <c r="F12" s="10">
        <v>1232.8399999999999</v>
      </c>
      <c r="H12" s="12"/>
      <c r="I12" s="10">
        <f t="shared" si="3"/>
        <v>678.08</v>
      </c>
      <c r="J12" s="15"/>
      <c r="K12" s="23"/>
      <c r="O12" s="10">
        <v>678.08</v>
      </c>
      <c r="Q12" s="10">
        <v>981.33999999999992</v>
      </c>
      <c r="R12" s="10">
        <v>1092</v>
      </c>
      <c r="S12" s="10">
        <v>1157.05</v>
      </c>
      <c r="T12" s="10">
        <v>1259.1399999999999</v>
      </c>
    </row>
    <row r="13" spans="1:41" x14ac:dyDescent="0.2">
      <c r="A13" s="10">
        <v>1</v>
      </c>
      <c r="B13" s="10" t="s">
        <v>2</v>
      </c>
      <c r="C13" s="10" t="s">
        <v>29</v>
      </c>
      <c r="D13" s="10">
        <v>10</v>
      </c>
      <c r="E13" s="10" t="s">
        <v>50</v>
      </c>
      <c r="F13" s="10">
        <v>1270.24</v>
      </c>
      <c r="H13" s="12"/>
      <c r="I13" s="10">
        <f t="shared" si="3"/>
        <v>1098.24</v>
      </c>
      <c r="J13" s="15"/>
      <c r="K13" s="23"/>
      <c r="O13" s="10">
        <v>1248.3200000000002</v>
      </c>
      <c r="Q13" s="10">
        <v>1098.24</v>
      </c>
      <c r="R13" s="10">
        <v>1140.8</v>
      </c>
      <c r="S13" s="10">
        <v>1114.18</v>
      </c>
      <c r="T13" s="10">
        <v>1183.6399999999999</v>
      </c>
    </row>
    <row r="14" spans="1:41" x14ac:dyDescent="0.2">
      <c r="H14" s="12"/>
      <c r="J14" s="15"/>
      <c r="K14" s="15"/>
    </row>
    <row r="15" spans="1:41" x14ac:dyDescent="0.2">
      <c r="H15" s="12"/>
      <c r="J15" s="15"/>
      <c r="K15" s="15"/>
      <c r="M15" s="7" t="s">
        <v>30</v>
      </c>
      <c r="N15" s="10">
        <v>866</v>
      </c>
      <c r="O15" s="10">
        <v>873</v>
      </c>
      <c r="P15" s="10">
        <v>880</v>
      </c>
      <c r="Q15" s="10">
        <v>887</v>
      </c>
      <c r="R15" s="10">
        <v>894</v>
      </c>
      <c r="S15" s="10">
        <v>901</v>
      </c>
      <c r="T15" s="10">
        <v>908</v>
      </c>
      <c r="U15" s="10">
        <v>915</v>
      </c>
      <c r="V15" s="10">
        <v>922</v>
      </c>
      <c r="W15" s="10">
        <v>929</v>
      </c>
      <c r="X15" s="10">
        <v>936</v>
      </c>
      <c r="Y15" s="10">
        <v>947</v>
      </c>
      <c r="Z15" s="10">
        <v>950</v>
      </c>
      <c r="AA15" s="10">
        <v>957</v>
      </c>
      <c r="AB15" s="10">
        <v>964</v>
      </c>
      <c r="AC15" s="10">
        <v>971</v>
      </c>
      <c r="AD15" s="10">
        <v>978</v>
      </c>
      <c r="AE15" s="10">
        <v>985</v>
      </c>
      <c r="AF15" s="10">
        <v>992</v>
      </c>
      <c r="AG15" s="10">
        <v>999</v>
      </c>
      <c r="AH15" s="10">
        <v>1006</v>
      </c>
      <c r="AI15" s="10">
        <v>1013</v>
      </c>
      <c r="AJ15" s="10">
        <v>1020</v>
      </c>
      <c r="AK15" s="10">
        <v>1034</v>
      </c>
      <c r="AL15" s="10">
        <v>1041</v>
      </c>
      <c r="AM15" s="10">
        <v>1055</v>
      </c>
      <c r="AN15" s="10">
        <v>1062</v>
      </c>
      <c r="AO15" s="10">
        <v>1076</v>
      </c>
    </row>
    <row r="16" spans="1:41" ht="32" x14ac:dyDescent="0.2">
      <c r="F16" s="14" t="s">
        <v>35</v>
      </c>
      <c r="G16" s="14" t="s">
        <v>34</v>
      </c>
      <c r="H16" s="14" t="s">
        <v>36</v>
      </c>
      <c r="I16" s="14" t="s">
        <v>32</v>
      </c>
      <c r="J16" s="14" t="s">
        <v>33</v>
      </c>
      <c r="K16" s="14"/>
      <c r="M16" s="7" t="s">
        <v>31</v>
      </c>
      <c r="N16" s="10">
        <f>N15-$N$15</f>
        <v>0</v>
      </c>
      <c r="O16" s="10">
        <f t="shared" ref="O16:AO16" si="5">O15-$N$15</f>
        <v>7</v>
      </c>
      <c r="P16" s="10">
        <f t="shared" si="5"/>
        <v>14</v>
      </c>
      <c r="Q16" s="10">
        <f t="shared" si="5"/>
        <v>21</v>
      </c>
      <c r="R16" s="10">
        <f t="shared" si="5"/>
        <v>28</v>
      </c>
      <c r="S16" s="10">
        <f t="shared" si="5"/>
        <v>35</v>
      </c>
      <c r="T16" s="10">
        <f t="shared" si="5"/>
        <v>42</v>
      </c>
      <c r="U16" s="10">
        <f t="shared" si="5"/>
        <v>49</v>
      </c>
      <c r="V16" s="10">
        <f t="shared" si="5"/>
        <v>56</v>
      </c>
      <c r="W16" s="10">
        <f t="shared" si="5"/>
        <v>63</v>
      </c>
      <c r="X16" s="10">
        <f t="shared" si="5"/>
        <v>70</v>
      </c>
      <c r="Y16" s="10">
        <f t="shared" si="5"/>
        <v>81</v>
      </c>
      <c r="Z16" s="10">
        <f t="shared" si="5"/>
        <v>84</v>
      </c>
      <c r="AA16" s="10">
        <f t="shared" si="5"/>
        <v>91</v>
      </c>
      <c r="AB16" s="10">
        <f t="shared" si="5"/>
        <v>98</v>
      </c>
      <c r="AC16" s="10">
        <f t="shared" si="5"/>
        <v>105</v>
      </c>
      <c r="AD16" s="10">
        <f t="shared" si="5"/>
        <v>112</v>
      </c>
      <c r="AE16" s="10">
        <f t="shared" si="5"/>
        <v>119</v>
      </c>
      <c r="AF16" s="10">
        <f t="shared" si="5"/>
        <v>126</v>
      </c>
      <c r="AG16" s="10">
        <f t="shared" si="5"/>
        <v>133</v>
      </c>
      <c r="AH16" s="10">
        <f t="shared" si="5"/>
        <v>140</v>
      </c>
      <c r="AI16" s="10">
        <f t="shared" si="5"/>
        <v>147</v>
      </c>
      <c r="AJ16" s="10">
        <f t="shared" si="5"/>
        <v>154</v>
      </c>
      <c r="AK16" s="10">
        <f t="shared" si="5"/>
        <v>168</v>
      </c>
      <c r="AL16" s="10">
        <f t="shared" si="5"/>
        <v>175</v>
      </c>
      <c r="AM16" s="10">
        <f t="shared" si="5"/>
        <v>189</v>
      </c>
      <c r="AN16" s="10">
        <f t="shared" si="5"/>
        <v>196</v>
      </c>
      <c r="AO16" s="10">
        <f t="shared" si="5"/>
        <v>210</v>
      </c>
    </row>
    <row r="17" spans="1:41" x14ac:dyDescent="0.2">
      <c r="A17" s="10">
        <v>1</v>
      </c>
      <c r="B17" s="10" t="s">
        <v>15</v>
      </c>
      <c r="C17" s="10" t="s">
        <v>25</v>
      </c>
      <c r="D17" s="10">
        <v>11</v>
      </c>
      <c r="E17" s="10" t="s">
        <v>50</v>
      </c>
      <c r="G17" s="10">
        <f>N17</f>
        <v>478.59000000000003</v>
      </c>
      <c r="H17" s="12" t="e">
        <f>G17/F17</f>
        <v>#DIV/0!</v>
      </c>
      <c r="I17" s="10">
        <f>MIN(N17:AB17)</f>
        <v>263.77999999999997</v>
      </c>
      <c r="J17" s="15">
        <f>I17/G17</f>
        <v>0.5511607012265195</v>
      </c>
      <c r="K17" s="15"/>
      <c r="N17" s="10">
        <v>478.59000000000003</v>
      </c>
      <c r="O17" s="10">
        <v>314.86</v>
      </c>
      <c r="P17" s="10">
        <v>399.6</v>
      </c>
      <c r="Q17" s="10">
        <v>465.69000000000005</v>
      </c>
      <c r="R17" s="10">
        <v>386.33999999999992</v>
      </c>
      <c r="S17" s="10">
        <v>283.02</v>
      </c>
      <c r="T17" s="10">
        <v>349.25</v>
      </c>
      <c r="U17" s="10">
        <v>383.4</v>
      </c>
      <c r="V17" s="10">
        <v>398.64</v>
      </c>
      <c r="W17" s="10">
        <v>529.91999999999996</v>
      </c>
      <c r="X17" s="10">
        <v>323.64000000000004</v>
      </c>
      <c r="Y17" s="10">
        <v>263.77999999999997</v>
      </c>
      <c r="Z17" s="10">
        <v>301.92</v>
      </c>
      <c r="AA17" s="10">
        <v>408.24</v>
      </c>
      <c r="AB17" s="10">
        <v>494.7299999999999</v>
      </c>
      <c r="AC17" s="10">
        <v>408.79999999999995</v>
      </c>
      <c r="AD17" s="10">
        <v>318.92</v>
      </c>
      <c r="AE17" s="10">
        <v>355.74</v>
      </c>
      <c r="AF17" s="10">
        <v>477.52</v>
      </c>
      <c r="AG17" s="10">
        <v>224.07</v>
      </c>
      <c r="AH17" s="10">
        <v>392.01</v>
      </c>
      <c r="AJ17" s="10">
        <v>323.06999999999994</v>
      </c>
      <c r="AK17" s="10">
        <v>620.67999999999995</v>
      </c>
      <c r="AL17" s="10">
        <v>303.03000000000003</v>
      </c>
      <c r="AN17" s="10">
        <v>344.52000000000004</v>
      </c>
      <c r="AO17" s="10">
        <v>279.83999999999997</v>
      </c>
    </row>
    <row r="18" spans="1:41" x14ac:dyDescent="0.2">
      <c r="A18" s="10">
        <v>1</v>
      </c>
      <c r="B18" s="10" t="s">
        <v>15</v>
      </c>
      <c r="C18" s="10" t="s">
        <v>26</v>
      </c>
      <c r="D18" s="10">
        <v>12</v>
      </c>
      <c r="E18" s="10" t="s">
        <v>50</v>
      </c>
      <c r="G18" s="10">
        <f>N18</f>
        <v>379.13999999999993</v>
      </c>
      <c r="H18" s="12" t="e">
        <f>G18/F18</f>
        <v>#DIV/0!</v>
      </c>
      <c r="I18" s="10">
        <f>MIN(N18:AB18)</f>
        <v>379.13999999999993</v>
      </c>
      <c r="J18" s="15">
        <f>I18/G18</f>
        <v>1</v>
      </c>
      <c r="K18" s="15"/>
      <c r="N18" s="10">
        <v>379.13999999999993</v>
      </c>
      <c r="O18" s="10">
        <v>461.9</v>
      </c>
      <c r="P18" s="10">
        <v>639.17000000000007</v>
      </c>
      <c r="Q18" s="10">
        <v>954.72</v>
      </c>
      <c r="R18" s="10">
        <v>843.19999999999993</v>
      </c>
      <c r="S18" s="10">
        <v>742.56</v>
      </c>
      <c r="T18" s="10">
        <v>929.09999999999991</v>
      </c>
      <c r="U18" s="10">
        <v>1097.4000000000001</v>
      </c>
      <c r="V18" s="10">
        <v>1059.3800000000001</v>
      </c>
      <c r="W18" s="10">
        <v>1158.24</v>
      </c>
      <c r="X18" s="10">
        <v>676.78</v>
      </c>
      <c r="Y18" s="10">
        <v>772.35</v>
      </c>
      <c r="Z18" s="10">
        <v>617.22</v>
      </c>
      <c r="AA18" s="10">
        <v>686.7</v>
      </c>
      <c r="AB18" s="10">
        <v>994.74</v>
      </c>
      <c r="AC18" s="10">
        <v>873.99000000000012</v>
      </c>
      <c r="AD18" s="10">
        <v>606.35</v>
      </c>
      <c r="AE18" s="10">
        <v>996.66</v>
      </c>
      <c r="AF18" s="10">
        <v>882.31999999999982</v>
      </c>
      <c r="AG18" s="10">
        <v>533.87</v>
      </c>
      <c r="AH18" s="10">
        <v>926.3</v>
      </c>
      <c r="AJ18" s="10">
        <v>651.82000000000005</v>
      </c>
      <c r="AK18" s="10">
        <v>1072.6199999999999</v>
      </c>
      <c r="AL18" s="10">
        <v>626.21999999999991</v>
      </c>
      <c r="AN18" s="10">
        <v>594.88000000000011</v>
      </c>
      <c r="AO18" s="10">
        <v>683.52</v>
      </c>
    </row>
    <row r="19" spans="1:41" x14ac:dyDescent="0.2">
      <c r="A19" s="10">
        <v>1</v>
      </c>
      <c r="B19" s="10" t="s">
        <v>15</v>
      </c>
      <c r="C19" s="10" t="s">
        <v>16</v>
      </c>
      <c r="D19" s="10">
        <v>13</v>
      </c>
      <c r="E19" s="10" t="s">
        <v>54</v>
      </c>
      <c r="G19" s="10">
        <f>N19</f>
        <v>526.11</v>
      </c>
      <c r="H19" s="12" t="e">
        <f>G19/F19</f>
        <v>#DIV/0!</v>
      </c>
      <c r="I19" s="10">
        <f>MIN(N19:AB19)</f>
        <v>517.27</v>
      </c>
      <c r="J19" s="15">
        <f>I19/G19</f>
        <v>0.98319743019520622</v>
      </c>
      <c r="K19" s="15"/>
      <c r="N19" s="10">
        <v>526.11</v>
      </c>
      <c r="O19" s="10">
        <v>865.19</v>
      </c>
      <c r="P19" s="10">
        <v>688.15999999999985</v>
      </c>
      <c r="Q19" s="10">
        <v>919.60000000000014</v>
      </c>
      <c r="R19" s="10">
        <v>776</v>
      </c>
      <c r="S19" s="10">
        <v>826.11000000000013</v>
      </c>
      <c r="T19" s="10">
        <v>902.93999999999994</v>
      </c>
      <c r="U19" s="10">
        <v>709.80000000000007</v>
      </c>
      <c r="V19" s="10">
        <v>856.66</v>
      </c>
      <c r="W19" s="10">
        <v>746.72</v>
      </c>
      <c r="X19" s="10">
        <v>640.81999999999994</v>
      </c>
      <c r="Y19" s="10">
        <v>588.79999999999995</v>
      </c>
      <c r="Z19" s="10">
        <v>517.27</v>
      </c>
      <c r="AA19" s="10">
        <v>564.48</v>
      </c>
      <c r="AB19" s="10">
        <v>637.98000000000013</v>
      </c>
      <c r="AC19" s="10">
        <v>567.42999999999995</v>
      </c>
      <c r="AD19" s="10">
        <v>363.49</v>
      </c>
      <c r="AE19" s="10">
        <v>506.54999999999995</v>
      </c>
      <c r="AF19" s="10">
        <v>526.32000000000005</v>
      </c>
      <c r="AG19" s="10">
        <v>251.64000000000001</v>
      </c>
      <c r="AH19" s="10">
        <v>390.15</v>
      </c>
      <c r="AJ19" s="10">
        <v>388.29999999999995</v>
      </c>
      <c r="AK19" s="10">
        <v>301.39999999999998</v>
      </c>
      <c r="AL19" s="10">
        <v>212.524</v>
      </c>
      <c r="AN19" s="10">
        <v>203.72800000000001</v>
      </c>
      <c r="AO19" s="10">
        <v>240.45000000000002</v>
      </c>
    </row>
    <row r="20" spans="1:41" x14ac:dyDescent="0.2">
      <c r="A20" s="10">
        <v>1</v>
      </c>
      <c r="B20" s="10" t="s">
        <v>15</v>
      </c>
      <c r="C20" s="10" t="s">
        <v>17</v>
      </c>
      <c r="D20" s="10">
        <v>14</v>
      </c>
      <c r="E20" s="10" t="s">
        <v>54</v>
      </c>
      <c r="G20" s="10">
        <f t="shared" ref="G20:G27" si="6">N20</f>
        <v>389.3</v>
      </c>
      <c r="H20" s="12" t="e">
        <f t="shared" ref="H20:H27" si="7">G20/F20</f>
        <v>#DIV/0!</v>
      </c>
      <c r="I20" s="10">
        <f t="shared" ref="I20:I27" si="8">MIN(N20:AB20)</f>
        <v>279</v>
      </c>
      <c r="J20" s="15">
        <f t="shared" ref="J20:J27" si="9">I20/G20</f>
        <v>0.71667094785512453</v>
      </c>
      <c r="K20" s="15"/>
      <c r="N20" s="10">
        <v>389.3</v>
      </c>
      <c r="O20" s="10">
        <v>464.42999999999995</v>
      </c>
      <c r="P20" s="10">
        <v>279</v>
      </c>
      <c r="Q20" s="10">
        <v>733.04</v>
      </c>
      <c r="R20" s="10">
        <v>751.68</v>
      </c>
      <c r="S20" s="10">
        <v>726.75</v>
      </c>
      <c r="T20" s="10">
        <v>734.82000000000016</v>
      </c>
      <c r="U20" s="10">
        <v>582.18000000000006</v>
      </c>
      <c r="V20" s="10">
        <v>622.16</v>
      </c>
      <c r="W20" s="10">
        <v>708.75</v>
      </c>
      <c r="X20" s="10">
        <v>502.25</v>
      </c>
      <c r="Y20" s="10">
        <v>508.40999999999997</v>
      </c>
      <c r="Z20" s="10">
        <v>588.9</v>
      </c>
      <c r="AA20" s="10">
        <v>541.43999999999994</v>
      </c>
      <c r="AB20" s="10">
        <v>738.15</v>
      </c>
      <c r="AC20" s="10">
        <v>502.99000000000007</v>
      </c>
      <c r="AD20" s="10">
        <v>501.37</v>
      </c>
      <c r="AE20" s="10">
        <v>558.25</v>
      </c>
      <c r="AF20" s="10">
        <v>894</v>
      </c>
      <c r="AG20" s="10">
        <v>205.20000000000005</v>
      </c>
      <c r="AH20" s="10">
        <v>756.92000000000007</v>
      </c>
      <c r="AJ20" s="10">
        <v>671.3</v>
      </c>
      <c r="AK20" s="10">
        <v>873.1400000000001</v>
      </c>
      <c r="AL20" s="10">
        <v>603.68000000000006</v>
      </c>
      <c r="AN20" s="10">
        <v>454.3</v>
      </c>
      <c r="AO20" s="10">
        <v>717.06000000000006</v>
      </c>
    </row>
    <row r="21" spans="1:41" x14ac:dyDescent="0.2">
      <c r="A21" s="10">
        <v>1</v>
      </c>
      <c r="B21" s="10" t="s">
        <v>15</v>
      </c>
      <c r="C21" s="10" t="s">
        <v>18</v>
      </c>
      <c r="D21" s="10">
        <v>15</v>
      </c>
      <c r="E21" s="10" t="s">
        <v>54</v>
      </c>
      <c r="G21" s="10">
        <f t="shared" si="6"/>
        <v>670.31999999999994</v>
      </c>
      <c r="H21" s="12" t="e">
        <f t="shared" si="7"/>
        <v>#DIV/0!</v>
      </c>
      <c r="I21" s="10">
        <f t="shared" si="8"/>
        <v>486.14000000000004</v>
      </c>
      <c r="J21" s="15">
        <f t="shared" si="9"/>
        <v>0.72523570831841522</v>
      </c>
      <c r="K21" s="15"/>
      <c r="N21" s="10">
        <v>670.31999999999994</v>
      </c>
      <c r="O21" s="10">
        <v>486.14000000000004</v>
      </c>
      <c r="P21" s="10">
        <v>537.88</v>
      </c>
      <c r="Q21" s="10">
        <v>973.18</v>
      </c>
      <c r="R21" s="10">
        <v>778</v>
      </c>
      <c r="S21" s="10">
        <v>1033.9000000000001</v>
      </c>
      <c r="T21" s="10">
        <v>1130.9600000000003</v>
      </c>
      <c r="U21" s="10">
        <v>780</v>
      </c>
      <c r="V21" s="10">
        <v>751.1</v>
      </c>
      <c r="W21" s="10">
        <v>811.96</v>
      </c>
      <c r="X21" s="10">
        <v>969.33</v>
      </c>
      <c r="Y21" s="10">
        <v>898.88000000000011</v>
      </c>
      <c r="Z21" s="10">
        <v>797.35</v>
      </c>
      <c r="AA21" s="10">
        <v>905.22</v>
      </c>
      <c r="AB21" s="10">
        <v>764.75000000000011</v>
      </c>
      <c r="AC21" s="10">
        <v>726.44999999999993</v>
      </c>
      <c r="AD21" s="10">
        <v>865.81000000000006</v>
      </c>
      <c r="AE21" s="10">
        <v>940.5</v>
      </c>
      <c r="AF21" s="10">
        <v>1367.46</v>
      </c>
      <c r="AG21" s="10">
        <v>1069.6399999999999</v>
      </c>
      <c r="AH21" s="10">
        <v>1012.4199999999998</v>
      </c>
      <c r="AJ21" s="10">
        <v>1017.27</v>
      </c>
      <c r="AK21" s="10">
        <v>978.12000000000012</v>
      </c>
      <c r="AL21" s="10">
        <v>892.44000000000017</v>
      </c>
      <c r="AN21" s="10">
        <v>1009.8900000000001</v>
      </c>
      <c r="AO21" s="10">
        <v>723.24</v>
      </c>
    </row>
    <row r="22" spans="1:41" x14ac:dyDescent="0.2">
      <c r="A22" s="10">
        <v>1</v>
      </c>
      <c r="B22" s="10" t="s">
        <v>15</v>
      </c>
      <c r="C22" s="10" t="s">
        <v>19</v>
      </c>
      <c r="D22" s="10">
        <v>16</v>
      </c>
      <c r="E22" s="10" t="s">
        <v>53</v>
      </c>
      <c r="G22" s="10">
        <f t="shared" si="6"/>
        <v>477.40000000000003</v>
      </c>
      <c r="H22" s="12" t="e">
        <f t="shared" si="7"/>
        <v>#DIV/0!</v>
      </c>
      <c r="I22" s="10">
        <f t="shared" si="8"/>
        <v>198</v>
      </c>
      <c r="J22" s="15">
        <f t="shared" si="9"/>
        <v>0.41474654377880182</v>
      </c>
      <c r="K22" s="15"/>
      <c r="N22" s="10">
        <v>477.40000000000003</v>
      </c>
      <c r="O22" s="10">
        <v>297.46000000000004</v>
      </c>
      <c r="P22" s="10">
        <v>394.24</v>
      </c>
      <c r="Q22" s="10">
        <v>444.79999999999995</v>
      </c>
      <c r="R22" s="10">
        <v>422.73</v>
      </c>
      <c r="S22" s="10">
        <v>348.24999999999994</v>
      </c>
      <c r="T22" s="10">
        <v>519.48</v>
      </c>
      <c r="U22" s="10">
        <v>198</v>
      </c>
      <c r="V22" s="10">
        <v>404.20000000000005</v>
      </c>
      <c r="W22" s="10">
        <v>328.64000000000004</v>
      </c>
      <c r="X22" s="10">
        <v>352.59999999999997</v>
      </c>
      <c r="Y22" s="10">
        <v>350.4</v>
      </c>
      <c r="Z22" s="10">
        <v>259.17</v>
      </c>
      <c r="AA22" s="10">
        <v>243.44</v>
      </c>
      <c r="AB22" s="10">
        <v>260.40000000000003</v>
      </c>
      <c r="AC22" s="10">
        <v>255.19</v>
      </c>
      <c r="AD22" s="10">
        <v>239.39999999999998</v>
      </c>
      <c r="AE22" s="10">
        <v>330.24</v>
      </c>
      <c r="AF22" s="10">
        <v>195.93999999999997</v>
      </c>
      <c r="AG22" s="10">
        <v>167.61999999999998</v>
      </c>
      <c r="AH22" s="10">
        <v>225.42</v>
      </c>
      <c r="AJ22" s="10">
        <v>232.869</v>
      </c>
      <c r="AK22" s="10">
        <v>229.02600000000001</v>
      </c>
      <c r="AL22" s="10">
        <v>197.37</v>
      </c>
      <c r="AN22" s="10">
        <v>101.661</v>
      </c>
      <c r="AO22" s="10">
        <v>96.6</v>
      </c>
    </row>
    <row r="23" spans="1:41" x14ac:dyDescent="0.2">
      <c r="A23" s="10">
        <v>1</v>
      </c>
      <c r="B23" s="10" t="s">
        <v>15</v>
      </c>
      <c r="C23" s="10" t="s">
        <v>20</v>
      </c>
      <c r="D23" s="10">
        <v>17</v>
      </c>
      <c r="E23" s="10" t="s">
        <v>53</v>
      </c>
      <c r="G23" s="10">
        <f t="shared" si="6"/>
        <v>744.77</v>
      </c>
      <c r="H23" s="12" t="e">
        <f t="shared" si="7"/>
        <v>#DIV/0!</v>
      </c>
      <c r="I23" s="10">
        <f t="shared" si="8"/>
        <v>522.68999999999994</v>
      </c>
      <c r="J23" s="15">
        <f t="shared" si="9"/>
        <v>0.70181398284033991</v>
      </c>
      <c r="K23" s="15"/>
      <c r="N23" s="10">
        <v>744.77</v>
      </c>
      <c r="O23" s="10">
        <v>522.68999999999994</v>
      </c>
      <c r="P23" s="10">
        <v>1210.5600000000002</v>
      </c>
      <c r="Q23" s="10">
        <v>836.16</v>
      </c>
      <c r="R23" s="10">
        <v>1126.4399999999998</v>
      </c>
      <c r="S23" s="10">
        <v>981.06000000000006</v>
      </c>
      <c r="T23" s="10">
        <v>1416.6200000000001</v>
      </c>
      <c r="U23" s="10">
        <v>1379.7</v>
      </c>
      <c r="V23" s="10">
        <v>1198.08</v>
      </c>
      <c r="W23" s="10">
        <v>1202.6300000000001</v>
      </c>
      <c r="X23" s="10">
        <v>1179.24</v>
      </c>
      <c r="Y23" s="10">
        <v>964.80000000000007</v>
      </c>
      <c r="Z23" s="10">
        <v>841.31999999999994</v>
      </c>
      <c r="AA23" s="10">
        <v>1330.62</v>
      </c>
      <c r="AB23" s="10">
        <v>1497.6</v>
      </c>
      <c r="AC23" s="10">
        <v>1036.9399999999998</v>
      </c>
      <c r="AD23" s="10">
        <v>931.40999999999985</v>
      </c>
      <c r="AE23" s="10">
        <v>1004.64</v>
      </c>
      <c r="AF23" s="10">
        <v>1121.6100000000001</v>
      </c>
      <c r="AG23" s="10">
        <v>611.81999999999994</v>
      </c>
      <c r="AH23" s="10">
        <v>1319.5</v>
      </c>
      <c r="AJ23" s="10">
        <v>1069.5899999999999</v>
      </c>
      <c r="AK23" s="10">
        <v>1453.96</v>
      </c>
      <c r="AL23" s="10">
        <v>801.3599999999999</v>
      </c>
      <c r="AN23" s="10">
        <v>859.56000000000006</v>
      </c>
      <c r="AO23" s="10">
        <v>1046.18</v>
      </c>
    </row>
    <row r="24" spans="1:41" x14ac:dyDescent="0.2">
      <c r="A24" s="10">
        <v>1</v>
      </c>
      <c r="B24" s="10" t="s">
        <v>15</v>
      </c>
      <c r="C24" s="10" t="s">
        <v>21</v>
      </c>
      <c r="D24" s="10">
        <v>18</v>
      </c>
      <c r="E24" s="10" t="s">
        <v>53</v>
      </c>
      <c r="G24" s="10">
        <f t="shared" si="6"/>
        <v>660.8</v>
      </c>
      <c r="H24" s="12" t="e">
        <f t="shared" si="7"/>
        <v>#DIV/0!</v>
      </c>
      <c r="I24" s="10">
        <f t="shared" si="8"/>
        <v>225.32</v>
      </c>
      <c r="J24" s="15">
        <f t="shared" si="9"/>
        <v>0.34098062953995156</v>
      </c>
      <c r="K24" s="15"/>
      <c r="N24" s="10">
        <v>660.8</v>
      </c>
      <c r="O24" s="10">
        <v>475.79999999999995</v>
      </c>
      <c r="P24" s="10">
        <v>641.19999999999993</v>
      </c>
      <c r="Q24" s="10">
        <v>672.59999999999991</v>
      </c>
      <c r="R24" s="10">
        <v>536.76</v>
      </c>
      <c r="S24" s="10">
        <v>298.12</v>
      </c>
      <c r="T24" s="10">
        <v>385.32000000000005</v>
      </c>
      <c r="U24" s="10">
        <v>316.52</v>
      </c>
      <c r="V24" s="10">
        <v>457.32</v>
      </c>
      <c r="W24" s="10">
        <v>521.85</v>
      </c>
      <c r="X24" s="10">
        <v>298</v>
      </c>
      <c r="Y24" s="10">
        <v>394</v>
      </c>
      <c r="Z24" s="10">
        <v>225.32</v>
      </c>
      <c r="AA24" s="10">
        <v>292.37</v>
      </c>
      <c r="AB24" s="10">
        <v>377.14000000000004</v>
      </c>
      <c r="AC24" s="10">
        <v>280.55999999999995</v>
      </c>
      <c r="AD24" s="10">
        <v>273.60000000000002</v>
      </c>
      <c r="AE24" s="10">
        <v>301.07000000000005</v>
      </c>
      <c r="AF24" s="10">
        <v>430.08000000000004</v>
      </c>
      <c r="AG24" s="10">
        <v>180.48</v>
      </c>
      <c r="AH24" s="10">
        <v>370.74000000000007</v>
      </c>
      <c r="AJ24" s="10">
        <v>214.2</v>
      </c>
      <c r="AK24" s="10">
        <v>434.16</v>
      </c>
      <c r="AL24" s="10">
        <v>337.54999999999995</v>
      </c>
      <c r="AN24" s="10">
        <v>167.64</v>
      </c>
      <c r="AO24" s="10">
        <v>200.60000000000002</v>
      </c>
    </row>
    <row r="25" spans="1:41" x14ac:dyDescent="0.2">
      <c r="A25" s="10">
        <v>1</v>
      </c>
      <c r="B25" s="10" t="s">
        <v>15</v>
      </c>
      <c r="C25" s="10" t="s">
        <v>22</v>
      </c>
      <c r="D25" s="10">
        <v>19</v>
      </c>
      <c r="E25" s="10" t="s">
        <v>53</v>
      </c>
      <c r="G25" s="10">
        <f t="shared" si="6"/>
        <v>933.24</v>
      </c>
      <c r="H25" s="12" t="e">
        <f t="shared" si="7"/>
        <v>#DIV/0!</v>
      </c>
      <c r="I25" s="10">
        <f t="shared" si="8"/>
        <v>627.15000000000009</v>
      </c>
      <c r="J25" s="15">
        <f t="shared" si="9"/>
        <v>0.67201362993442215</v>
      </c>
      <c r="K25" s="15"/>
      <c r="N25" s="10">
        <v>933.24</v>
      </c>
      <c r="O25" s="10">
        <v>1157</v>
      </c>
      <c r="P25" s="10">
        <v>1316.8799999999999</v>
      </c>
      <c r="Q25" s="10">
        <v>1200.54</v>
      </c>
      <c r="R25" s="10">
        <v>627.15000000000009</v>
      </c>
      <c r="S25" s="10">
        <v>1150.2</v>
      </c>
      <c r="T25" s="10">
        <v>1081.9000000000001</v>
      </c>
      <c r="U25" s="10">
        <v>1119.69</v>
      </c>
      <c r="V25" s="10">
        <v>1461.5</v>
      </c>
      <c r="W25" s="10">
        <v>1194.6200000000001</v>
      </c>
      <c r="X25" s="10">
        <v>1064.77</v>
      </c>
      <c r="Y25" s="10">
        <v>1045.28</v>
      </c>
      <c r="Z25" s="10">
        <v>1110.2</v>
      </c>
      <c r="AA25" s="10">
        <v>1051.56</v>
      </c>
      <c r="AB25" s="10">
        <v>1169.48</v>
      </c>
      <c r="AC25" s="10">
        <v>1298.1200000000001</v>
      </c>
      <c r="AD25" s="10">
        <v>997.92000000000007</v>
      </c>
      <c r="AE25" s="10">
        <v>1099.99</v>
      </c>
      <c r="AG25" s="10">
        <v>1118.8399999999999</v>
      </c>
      <c r="AI25" s="10">
        <v>1089.58</v>
      </c>
      <c r="AJ25" s="10">
        <v>1023.99</v>
      </c>
      <c r="AL25" s="10">
        <v>949.56999999999994</v>
      </c>
      <c r="AM25" s="10">
        <v>820.44999999999982</v>
      </c>
    </row>
    <row r="26" spans="1:41" x14ac:dyDescent="0.2">
      <c r="A26" s="10">
        <v>1</v>
      </c>
      <c r="B26" s="10" t="s">
        <v>15</v>
      </c>
      <c r="C26" s="10" t="s">
        <v>23</v>
      </c>
      <c r="D26" s="10">
        <v>20</v>
      </c>
      <c r="E26" s="10" t="s">
        <v>53</v>
      </c>
      <c r="G26" s="10">
        <f t="shared" si="6"/>
        <v>582.82999999999993</v>
      </c>
      <c r="H26" s="12" t="e">
        <f t="shared" si="7"/>
        <v>#DIV/0!</v>
      </c>
      <c r="I26" s="10">
        <f t="shared" si="8"/>
        <v>469.26</v>
      </c>
      <c r="J26" s="15">
        <f t="shared" si="9"/>
        <v>0.80514043546145542</v>
      </c>
      <c r="K26" s="15"/>
      <c r="N26" s="10">
        <v>582.82999999999993</v>
      </c>
      <c r="O26" s="10">
        <v>687.59999999999991</v>
      </c>
      <c r="P26" s="10">
        <v>554.80000000000007</v>
      </c>
      <c r="Q26" s="10">
        <v>802.23</v>
      </c>
      <c r="R26" s="10">
        <v>483.29999999999995</v>
      </c>
      <c r="S26" s="10">
        <v>469.26</v>
      </c>
      <c r="T26" s="10">
        <v>611.9</v>
      </c>
      <c r="U26" s="10">
        <v>516.36</v>
      </c>
      <c r="V26" s="10">
        <v>625.91999999999996</v>
      </c>
      <c r="W26" s="10">
        <v>621.91999999999996</v>
      </c>
      <c r="X26" s="10">
        <v>775.58</v>
      </c>
      <c r="Y26" s="10">
        <v>684.76</v>
      </c>
      <c r="Z26" s="10">
        <v>578.79000000000008</v>
      </c>
      <c r="AA26" s="10">
        <v>619.36</v>
      </c>
      <c r="AB26" s="10">
        <v>722.06999999999994</v>
      </c>
      <c r="AC26" s="10">
        <v>807.57999999999993</v>
      </c>
      <c r="AD26" s="10">
        <v>336.03999999999996</v>
      </c>
      <c r="AE26" s="10">
        <v>699</v>
      </c>
      <c r="AG26" s="10">
        <v>723.56999999999994</v>
      </c>
      <c r="AI26" s="10">
        <v>696.07999999999993</v>
      </c>
      <c r="AJ26" s="10">
        <v>495.51999999999992</v>
      </c>
      <c r="AL26" s="10">
        <v>485.51999999999992</v>
      </c>
      <c r="AM26" s="10">
        <v>328.75</v>
      </c>
    </row>
    <row r="27" spans="1:41" x14ac:dyDescent="0.2">
      <c r="A27" s="10">
        <v>1</v>
      </c>
      <c r="B27" s="10" t="s">
        <v>15</v>
      </c>
      <c r="C27" s="10" t="s">
        <v>24</v>
      </c>
      <c r="D27" s="10">
        <v>21</v>
      </c>
      <c r="E27" s="10" t="s">
        <v>53</v>
      </c>
      <c r="G27" s="10">
        <f t="shared" si="6"/>
        <v>598.5</v>
      </c>
      <c r="H27" s="12" t="e">
        <f t="shared" si="7"/>
        <v>#DIV/0!</v>
      </c>
      <c r="I27" s="10">
        <f t="shared" si="8"/>
        <v>350</v>
      </c>
      <c r="J27" s="15">
        <f t="shared" si="9"/>
        <v>0.58479532163742687</v>
      </c>
      <c r="K27" s="15"/>
      <c r="N27" s="10">
        <v>598.5</v>
      </c>
      <c r="O27" s="10">
        <v>607.6</v>
      </c>
      <c r="P27" s="10">
        <v>635.80000000000007</v>
      </c>
      <c r="Q27" s="10">
        <v>473.28</v>
      </c>
      <c r="R27" s="10">
        <v>667.16999999999985</v>
      </c>
      <c r="S27" s="10">
        <v>695.46</v>
      </c>
      <c r="T27" s="10">
        <v>707</v>
      </c>
      <c r="U27" s="10">
        <v>492.67999999999995</v>
      </c>
      <c r="V27" s="10">
        <v>603.9</v>
      </c>
      <c r="W27" s="10">
        <v>350</v>
      </c>
      <c r="X27" s="10">
        <v>445.05999999999995</v>
      </c>
      <c r="Y27" s="10">
        <v>435.6</v>
      </c>
      <c r="Z27" s="10">
        <v>431.43</v>
      </c>
      <c r="AA27" s="10">
        <v>436.87999999999994</v>
      </c>
      <c r="AB27" s="10">
        <v>575.69999999999993</v>
      </c>
      <c r="AC27" s="10">
        <v>530.75</v>
      </c>
      <c r="AD27" s="10">
        <v>351.47999999999996</v>
      </c>
      <c r="AE27" s="10">
        <v>660.1</v>
      </c>
      <c r="AG27" s="10">
        <v>710.63999999999987</v>
      </c>
      <c r="AI27" s="10">
        <v>710.59999999999991</v>
      </c>
      <c r="AJ27" s="10">
        <v>563.21999999999991</v>
      </c>
      <c r="AL27" s="10">
        <v>438.69999999999993</v>
      </c>
      <c r="AM27" s="10">
        <v>327.25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4"/>
  <sheetViews>
    <sheetView topLeftCell="A16" workbookViewId="0">
      <selection activeCell="F101" sqref="F101"/>
    </sheetView>
  </sheetViews>
  <sheetFormatPr baseColWidth="10" defaultRowHeight="16" x14ac:dyDescent="0.2"/>
  <cols>
    <col min="1" max="4" width="10.7109375" style="10"/>
    <col min="5" max="5" width="17.28515625" style="10" customWidth="1"/>
    <col min="6" max="16384" width="10.7109375" style="10"/>
  </cols>
  <sheetData>
    <row r="1" spans="1:13" ht="31" customHeight="1" x14ac:dyDescent="0.2">
      <c r="F1" s="33" t="s">
        <v>47</v>
      </c>
      <c r="G1" s="33"/>
      <c r="H1" s="33"/>
      <c r="I1" s="33"/>
      <c r="J1" s="11"/>
      <c r="K1" s="11"/>
      <c r="L1" s="11"/>
      <c r="M1" s="11"/>
    </row>
    <row r="2" spans="1:13" x14ac:dyDescent="0.2">
      <c r="A2" s="5" t="s">
        <v>0</v>
      </c>
      <c r="B2" s="5" t="s">
        <v>68</v>
      </c>
      <c r="C2" s="5" t="s">
        <v>11</v>
      </c>
      <c r="D2" s="5" t="s">
        <v>1</v>
      </c>
      <c r="E2" s="5" t="s">
        <v>10</v>
      </c>
      <c r="F2" s="11" t="s">
        <v>41</v>
      </c>
      <c r="G2" s="11" t="s">
        <v>42</v>
      </c>
      <c r="H2" s="11" t="s">
        <v>43</v>
      </c>
      <c r="I2" s="11" t="s">
        <v>44</v>
      </c>
      <c r="J2" s="11"/>
      <c r="K2" s="11"/>
      <c r="L2" s="11"/>
      <c r="M2" s="11"/>
    </row>
    <row r="3" spans="1:13" x14ac:dyDescent="0.2">
      <c r="A3" s="10">
        <v>2</v>
      </c>
      <c r="C3" s="10">
        <v>50</v>
      </c>
      <c r="D3" s="10">
        <v>5900</v>
      </c>
      <c r="E3" s="10" t="s">
        <v>50</v>
      </c>
      <c r="F3" s="10">
        <v>1</v>
      </c>
      <c r="G3" s="10">
        <v>1</v>
      </c>
      <c r="H3" s="10">
        <v>1</v>
      </c>
      <c r="I3" s="10">
        <v>3</v>
      </c>
      <c r="L3" s="10" t="s">
        <v>69</v>
      </c>
    </row>
    <row r="4" spans="1:13" x14ac:dyDescent="0.2">
      <c r="A4" s="10">
        <v>2</v>
      </c>
      <c r="C4" s="10">
        <v>50</v>
      </c>
      <c r="D4" s="10">
        <v>5901</v>
      </c>
      <c r="E4" s="10" t="s">
        <v>50</v>
      </c>
      <c r="F4" s="10">
        <v>1</v>
      </c>
      <c r="G4" s="10">
        <v>1</v>
      </c>
      <c r="H4" s="10">
        <v>1</v>
      </c>
      <c r="I4" s="10">
        <v>3</v>
      </c>
    </row>
    <row r="5" spans="1:13" x14ac:dyDescent="0.2">
      <c r="A5" s="10">
        <v>2</v>
      </c>
      <c r="C5" s="10">
        <v>50</v>
      </c>
      <c r="D5" s="10">
        <v>5902</v>
      </c>
      <c r="E5" s="10" t="s">
        <v>50</v>
      </c>
      <c r="F5" s="10">
        <v>1</v>
      </c>
      <c r="G5" s="10">
        <v>1</v>
      </c>
      <c r="H5" s="10">
        <v>1</v>
      </c>
      <c r="I5" s="10">
        <v>3</v>
      </c>
    </row>
    <row r="6" spans="1:13" x14ac:dyDescent="0.2">
      <c r="A6" s="10">
        <v>2</v>
      </c>
      <c r="C6" s="10">
        <v>50</v>
      </c>
      <c r="D6" s="10">
        <v>5903</v>
      </c>
      <c r="E6" s="10" t="s">
        <v>50</v>
      </c>
      <c r="F6" s="10">
        <v>1</v>
      </c>
      <c r="G6" s="10">
        <v>1</v>
      </c>
      <c r="H6" s="10">
        <v>1</v>
      </c>
      <c r="I6" s="10">
        <v>3</v>
      </c>
    </row>
    <row r="7" spans="1:13" x14ac:dyDescent="0.2">
      <c r="A7" s="10">
        <v>2</v>
      </c>
      <c r="C7" s="10">
        <v>50</v>
      </c>
      <c r="D7" s="10">
        <v>5904</v>
      </c>
      <c r="E7" s="10" t="s">
        <v>50</v>
      </c>
      <c r="F7" s="10">
        <v>1</v>
      </c>
      <c r="G7" s="10">
        <v>1</v>
      </c>
      <c r="H7" s="10">
        <v>1</v>
      </c>
      <c r="I7" s="10">
        <v>3</v>
      </c>
    </row>
    <row r="8" spans="1:13" x14ac:dyDescent="0.2">
      <c r="A8" s="10">
        <v>2</v>
      </c>
      <c r="C8" s="10">
        <v>50</v>
      </c>
      <c r="D8" s="10">
        <v>5905</v>
      </c>
      <c r="E8" s="10" t="s">
        <v>50</v>
      </c>
      <c r="F8" s="10">
        <v>1</v>
      </c>
      <c r="G8" s="10">
        <v>1</v>
      </c>
      <c r="H8" s="10">
        <v>1</v>
      </c>
      <c r="I8" s="10">
        <v>3</v>
      </c>
    </row>
    <row r="9" spans="1:13" x14ac:dyDescent="0.2">
      <c r="A9" s="10">
        <v>2</v>
      </c>
      <c r="C9" s="10">
        <v>50</v>
      </c>
      <c r="D9" s="10">
        <v>5906</v>
      </c>
      <c r="E9" s="10" t="s">
        <v>50</v>
      </c>
      <c r="F9" s="10">
        <v>1</v>
      </c>
      <c r="G9" s="10">
        <v>1</v>
      </c>
      <c r="H9" s="10">
        <v>1</v>
      </c>
      <c r="I9" s="10">
        <v>3</v>
      </c>
    </row>
    <row r="10" spans="1:13" x14ac:dyDescent="0.2">
      <c r="A10" s="10">
        <v>2</v>
      </c>
      <c r="C10" s="10">
        <v>50</v>
      </c>
      <c r="D10" s="10">
        <v>5907</v>
      </c>
      <c r="E10" s="10" t="s">
        <v>50</v>
      </c>
      <c r="F10" s="10">
        <v>1</v>
      </c>
      <c r="G10" s="10">
        <v>1</v>
      </c>
      <c r="H10" s="10">
        <v>1</v>
      </c>
      <c r="I10" s="10">
        <v>3</v>
      </c>
    </row>
    <row r="11" spans="1:13" x14ac:dyDescent="0.2">
      <c r="A11" s="10">
        <v>2</v>
      </c>
      <c r="C11" s="10">
        <v>50</v>
      </c>
      <c r="D11" s="10">
        <v>5908</v>
      </c>
      <c r="E11" s="10" t="s">
        <v>50</v>
      </c>
      <c r="F11" s="10">
        <v>1</v>
      </c>
      <c r="G11" s="10">
        <v>1</v>
      </c>
      <c r="H11" s="10">
        <v>1</v>
      </c>
      <c r="I11" s="10">
        <v>3</v>
      </c>
    </row>
    <row r="12" spans="1:13" x14ac:dyDescent="0.2">
      <c r="A12" s="10">
        <v>2</v>
      </c>
      <c r="C12" s="10">
        <v>50</v>
      </c>
      <c r="D12" s="10">
        <v>5891</v>
      </c>
      <c r="E12" s="10" t="s">
        <v>38</v>
      </c>
    </row>
    <row r="13" spans="1:13" x14ac:dyDescent="0.2">
      <c r="A13" s="10">
        <v>2</v>
      </c>
      <c r="C13" s="10">
        <v>50</v>
      </c>
      <c r="D13" s="10">
        <v>5892</v>
      </c>
      <c r="E13" s="10" t="s">
        <v>38</v>
      </c>
      <c r="F13" s="10">
        <v>1</v>
      </c>
      <c r="G13" s="10">
        <v>1</v>
      </c>
      <c r="H13" s="10">
        <v>1</v>
      </c>
      <c r="I13" s="10">
        <v>3</v>
      </c>
    </row>
    <row r="14" spans="1:13" x14ac:dyDescent="0.2">
      <c r="A14" s="10">
        <v>2</v>
      </c>
      <c r="C14" s="10">
        <v>50</v>
      </c>
      <c r="D14" s="10">
        <v>5893</v>
      </c>
      <c r="E14" s="10" t="s">
        <v>38</v>
      </c>
      <c r="F14" s="10">
        <v>1</v>
      </c>
      <c r="G14" s="10">
        <v>1</v>
      </c>
      <c r="H14" s="10">
        <v>1</v>
      </c>
      <c r="I14" s="10">
        <v>3</v>
      </c>
    </row>
    <row r="15" spans="1:13" x14ac:dyDescent="0.2">
      <c r="A15" s="10">
        <v>2</v>
      </c>
      <c r="C15" s="10">
        <v>50</v>
      </c>
      <c r="D15" s="10">
        <v>5894</v>
      </c>
      <c r="E15" s="10" t="s">
        <v>38</v>
      </c>
      <c r="F15" s="10">
        <v>1</v>
      </c>
      <c r="G15" s="10">
        <v>1</v>
      </c>
      <c r="H15" s="10">
        <v>1</v>
      </c>
      <c r="I15" s="10">
        <v>3</v>
      </c>
    </row>
    <row r="16" spans="1:13" x14ac:dyDescent="0.2">
      <c r="A16" s="10">
        <v>2</v>
      </c>
      <c r="C16" s="10">
        <v>50</v>
      </c>
      <c r="D16" s="10">
        <v>5895</v>
      </c>
      <c r="E16" s="10" t="s">
        <v>38</v>
      </c>
      <c r="F16" s="10">
        <v>1</v>
      </c>
      <c r="G16" s="10">
        <v>1</v>
      </c>
      <c r="H16" s="10">
        <v>1</v>
      </c>
      <c r="I16" s="10">
        <v>3</v>
      </c>
    </row>
    <row r="17" spans="1:9" x14ac:dyDescent="0.2">
      <c r="A17" s="10">
        <v>2</v>
      </c>
      <c r="C17" s="10">
        <v>50</v>
      </c>
      <c r="D17" s="10">
        <v>5896</v>
      </c>
      <c r="E17" s="10" t="s">
        <v>38</v>
      </c>
      <c r="F17" s="10">
        <v>1</v>
      </c>
      <c r="G17" s="10">
        <v>1</v>
      </c>
      <c r="H17" s="10">
        <v>1</v>
      </c>
      <c r="I17" s="10">
        <v>3</v>
      </c>
    </row>
    <row r="18" spans="1:9" x14ac:dyDescent="0.2">
      <c r="A18" s="10">
        <v>2</v>
      </c>
      <c r="C18" s="10">
        <v>50</v>
      </c>
      <c r="D18" s="10">
        <v>5897</v>
      </c>
      <c r="E18" s="10" t="s">
        <v>38</v>
      </c>
      <c r="F18" s="10">
        <v>1</v>
      </c>
      <c r="G18" s="10">
        <v>1</v>
      </c>
      <c r="H18" s="10">
        <v>1</v>
      </c>
      <c r="I18" s="10">
        <v>3</v>
      </c>
    </row>
    <row r="19" spans="1:9" x14ac:dyDescent="0.2">
      <c r="A19" s="10">
        <v>2</v>
      </c>
      <c r="C19" s="10">
        <v>50</v>
      </c>
      <c r="D19" s="10">
        <v>5898</v>
      </c>
      <c r="E19" s="10" t="s">
        <v>38</v>
      </c>
      <c r="F19" s="10">
        <v>1</v>
      </c>
      <c r="G19" s="10">
        <v>1</v>
      </c>
      <c r="H19" s="10">
        <v>1</v>
      </c>
      <c r="I19" s="10">
        <v>3</v>
      </c>
    </row>
    <row r="20" spans="1:9" x14ac:dyDescent="0.2">
      <c r="A20" s="10">
        <v>2</v>
      </c>
      <c r="C20" s="10">
        <v>50</v>
      </c>
      <c r="D20" s="10">
        <v>5899</v>
      </c>
      <c r="E20" s="10" t="s">
        <v>38</v>
      </c>
      <c r="F20" s="10">
        <v>1</v>
      </c>
      <c r="G20" s="10">
        <v>1</v>
      </c>
      <c r="H20" s="10">
        <v>1</v>
      </c>
      <c r="I20" s="10">
        <v>3</v>
      </c>
    </row>
    <row r="21" spans="1:9" x14ac:dyDescent="0.2">
      <c r="A21" s="10">
        <v>2</v>
      </c>
      <c r="C21" s="10">
        <v>50</v>
      </c>
      <c r="D21" s="10">
        <v>5872</v>
      </c>
      <c r="E21" s="10" t="s">
        <v>48</v>
      </c>
      <c r="F21" s="10">
        <v>3</v>
      </c>
      <c r="G21" s="10">
        <v>1</v>
      </c>
      <c r="H21" s="10">
        <v>2</v>
      </c>
      <c r="I21" s="10">
        <v>6</v>
      </c>
    </row>
    <row r="22" spans="1:9" x14ac:dyDescent="0.2">
      <c r="A22" s="10">
        <v>2</v>
      </c>
      <c r="C22" s="10">
        <v>50</v>
      </c>
      <c r="D22" s="10">
        <v>5873</v>
      </c>
      <c r="E22" s="10" t="s">
        <v>48</v>
      </c>
      <c r="F22" s="10">
        <v>3</v>
      </c>
      <c r="G22" s="10">
        <v>2</v>
      </c>
      <c r="H22" s="10">
        <v>2</v>
      </c>
      <c r="I22" s="10">
        <v>7</v>
      </c>
    </row>
    <row r="23" spans="1:9" x14ac:dyDescent="0.2">
      <c r="A23" s="10">
        <v>2</v>
      </c>
      <c r="C23" s="10">
        <v>50</v>
      </c>
      <c r="D23" s="10">
        <v>5874</v>
      </c>
      <c r="E23" s="10" t="s">
        <v>48</v>
      </c>
      <c r="F23" s="10">
        <v>2</v>
      </c>
      <c r="G23" s="10">
        <v>3</v>
      </c>
      <c r="H23" s="10">
        <v>0</v>
      </c>
      <c r="I23" s="10">
        <v>5</v>
      </c>
    </row>
    <row r="24" spans="1:9" x14ac:dyDescent="0.2">
      <c r="A24" s="10">
        <v>2</v>
      </c>
      <c r="C24" s="10">
        <v>50</v>
      </c>
      <c r="D24" s="10">
        <v>5875</v>
      </c>
      <c r="E24" s="10" t="s">
        <v>48</v>
      </c>
      <c r="F24" s="10">
        <v>11</v>
      </c>
      <c r="G24" s="10">
        <v>22</v>
      </c>
      <c r="H24" s="10">
        <v>22</v>
      </c>
      <c r="I24" s="10">
        <v>55</v>
      </c>
    </row>
    <row r="25" spans="1:9" x14ac:dyDescent="0.2">
      <c r="A25" s="10">
        <v>2</v>
      </c>
      <c r="C25" s="10">
        <v>50</v>
      </c>
      <c r="D25" s="10">
        <v>5876</v>
      </c>
      <c r="E25" s="10" t="s">
        <v>48</v>
      </c>
      <c r="F25" s="10">
        <v>4</v>
      </c>
      <c r="G25" s="10">
        <v>4</v>
      </c>
      <c r="H25" s="10">
        <v>2</v>
      </c>
      <c r="I25" s="10">
        <v>10</v>
      </c>
    </row>
    <row r="26" spans="1:9" x14ac:dyDescent="0.2">
      <c r="A26" s="10">
        <v>2</v>
      </c>
      <c r="C26" s="10">
        <v>50</v>
      </c>
      <c r="D26" s="10">
        <v>5877</v>
      </c>
      <c r="E26" s="10" t="s">
        <v>48</v>
      </c>
      <c r="F26" s="10">
        <v>8</v>
      </c>
      <c r="G26" s="10">
        <v>5</v>
      </c>
      <c r="H26" s="10">
        <v>5</v>
      </c>
      <c r="I26" s="10">
        <v>18</v>
      </c>
    </row>
    <row r="27" spans="1:9" x14ac:dyDescent="0.2">
      <c r="A27" s="10">
        <v>2</v>
      </c>
      <c r="C27" s="10">
        <v>50</v>
      </c>
      <c r="D27" s="10">
        <v>5879</v>
      </c>
      <c r="E27" s="10" t="s">
        <v>48</v>
      </c>
      <c r="F27" s="10">
        <v>13</v>
      </c>
      <c r="G27" s="10">
        <v>20</v>
      </c>
      <c r="H27" s="10">
        <v>23</v>
      </c>
      <c r="I27" s="10">
        <v>56</v>
      </c>
    </row>
    <row r="28" spans="1:9" x14ac:dyDescent="0.2">
      <c r="A28" s="10">
        <v>2</v>
      </c>
      <c r="C28" s="10">
        <v>50</v>
      </c>
      <c r="D28" s="10">
        <v>5880</v>
      </c>
      <c r="E28" s="10" t="s">
        <v>48</v>
      </c>
      <c r="F28" s="10">
        <v>5</v>
      </c>
      <c r="G28" s="10">
        <v>6</v>
      </c>
      <c r="H28" s="10">
        <v>7</v>
      </c>
      <c r="I28" s="10">
        <v>18</v>
      </c>
    </row>
    <row r="29" spans="1:9" x14ac:dyDescent="0.2">
      <c r="A29" s="10">
        <v>2</v>
      </c>
      <c r="C29" s="10">
        <v>50</v>
      </c>
      <c r="D29" s="10">
        <v>5881</v>
      </c>
      <c r="E29" s="10" t="s">
        <v>48</v>
      </c>
      <c r="F29" s="10">
        <v>6</v>
      </c>
      <c r="G29" s="10">
        <v>6</v>
      </c>
      <c r="H29" s="10">
        <v>2</v>
      </c>
      <c r="I29" s="10">
        <v>14</v>
      </c>
    </row>
    <row r="30" spans="1:9" x14ac:dyDescent="0.2">
      <c r="A30" s="10">
        <v>2</v>
      </c>
      <c r="C30" s="10">
        <v>50</v>
      </c>
      <c r="D30" s="10">
        <v>5882</v>
      </c>
      <c r="E30" s="10" t="s">
        <v>49</v>
      </c>
      <c r="F30" s="10">
        <v>6</v>
      </c>
      <c r="G30" s="10">
        <v>6</v>
      </c>
      <c r="H30" s="10">
        <v>6</v>
      </c>
      <c r="I30" s="10">
        <v>18</v>
      </c>
    </row>
    <row r="31" spans="1:9" x14ac:dyDescent="0.2">
      <c r="A31" s="10">
        <v>2</v>
      </c>
      <c r="C31" s="10">
        <v>50</v>
      </c>
      <c r="D31" s="10">
        <v>5883</v>
      </c>
      <c r="E31" s="10" t="s">
        <v>49</v>
      </c>
      <c r="F31" s="10">
        <v>4</v>
      </c>
      <c r="G31" s="10">
        <v>7</v>
      </c>
      <c r="H31" s="10">
        <v>5</v>
      </c>
      <c r="I31" s="10">
        <v>16</v>
      </c>
    </row>
    <row r="32" spans="1:9" x14ac:dyDescent="0.2">
      <c r="A32" s="10">
        <v>2</v>
      </c>
      <c r="C32" s="10">
        <v>50</v>
      </c>
      <c r="D32" s="10">
        <v>5884</v>
      </c>
      <c r="E32" s="10" t="s">
        <v>49</v>
      </c>
      <c r="F32" s="10">
        <v>3</v>
      </c>
      <c r="G32" s="10">
        <v>1</v>
      </c>
      <c r="H32" s="10">
        <v>0</v>
      </c>
      <c r="I32" s="10">
        <v>4</v>
      </c>
    </row>
    <row r="33" spans="1:12" x14ac:dyDescent="0.2">
      <c r="A33" s="10">
        <v>2</v>
      </c>
      <c r="C33" s="10">
        <v>50</v>
      </c>
      <c r="D33" s="10">
        <v>5885</v>
      </c>
      <c r="E33" s="10" t="s">
        <v>49</v>
      </c>
    </row>
    <row r="34" spans="1:12" x14ac:dyDescent="0.2">
      <c r="A34" s="10">
        <v>2</v>
      </c>
      <c r="C34" s="10">
        <v>50</v>
      </c>
      <c r="D34" s="10">
        <v>5886</v>
      </c>
      <c r="E34" s="10" t="s">
        <v>49</v>
      </c>
      <c r="F34" s="10">
        <v>1</v>
      </c>
      <c r="G34" s="10">
        <v>2</v>
      </c>
      <c r="H34" s="10">
        <v>1</v>
      </c>
      <c r="I34" s="10">
        <v>4</v>
      </c>
    </row>
    <row r="35" spans="1:12" x14ac:dyDescent="0.2">
      <c r="A35" s="10">
        <v>2</v>
      </c>
      <c r="C35" s="10">
        <v>50</v>
      </c>
      <c r="D35" s="10">
        <v>5887</v>
      </c>
      <c r="E35" s="10" t="s">
        <v>49</v>
      </c>
      <c r="F35" s="10">
        <v>4</v>
      </c>
      <c r="G35" s="10">
        <v>2</v>
      </c>
      <c r="H35" s="10">
        <v>1</v>
      </c>
      <c r="I35" s="10">
        <v>7</v>
      </c>
    </row>
    <row r="36" spans="1:12" x14ac:dyDescent="0.2">
      <c r="A36" s="10">
        <v>2</v>
      </c>
      <c r="C36" s="10">
        <v>50</v>
      </c>
      <c r="D36" s="10">
        <v>5888</v>
      </c>
      <c r="E36" s="10" t="s">
        <v>49</v>
      </c>
      <c r="F36" s="10">
        <v>3</v>
      </c>
      <c r="G36" s="10">
        <v>3</v>
      </c>
      <c r="H36" s="10">
        <v>3</v>
      </c>
      <c r="I36" s="10">
        <v>9</v>
      </c>
    </row>
    <row r="37" spans="1:12" x14ac:dyDescent="0.2">
      <c r="A37" s="10">
        <v>2</v>
      </c>
      <c r="C37" s="10">
        <v>50</v>
      </c>
      <c r="D37" s="10">
        <v>5889</v>
      </c>
      <c r="E37" s="10" t="s">
        <v>49</v>
      </c>
      <c r="F37" s="10">
        <v>6</v>
      </c>
      <c r="G37" s="10">
        <v>4</v>
      </c>
      <c r="H37" s="10">
        <v>3</v>
      </c>
      <c r="I37" s="10">
        <v>13</v>
      </c>
    </row>
    <row r="38" spans="1:12" x14ac:dyDescent="0.2">
      <c r="A38" s="10">
        <v>2</v>
      </c>
      <c r="C38" s="10">
        <v>50</v>
      </c>
      <c r="D38" s="10">
        <v>5890</v>
      </c>
      <c r="E38" s="10" t="s">
        <v>49</v>
      </c>
      <c r="F38" s="10">
        <v>9</v>
      </c>
      <c r="G38" s="10">
        <v>12</v>
      </c>
      <c r="H38" s="10">
        <v>16</v>
      </c>
      <c r="I38" s="10">
        <v>37</v>
      </c>
    </row>
    <row r="40" spans="1:12" x14ac:dyDescent="0.2">
      <c r="A40" s="10">
        <v>2</v>
      </c>
      <c r="C40" s="10">
        <v>72</v>
      </c>
      <c r="D40" s="10">
        <v>5900</v>
      </c>
      <c r="E40" s="10" t="s">
        <v>50</v>
      </c>
      <c r="F40" s="10">
        <v>2</v>
      </c>
      <c r="G40" s="10">
        <v>1</v>
      </c>
      <c r="H40" s="10">
        <v>0</v>
      </c>
      <c r="I40" s="10">
        <v>3</v>
      </c>
      <c r="L40" s="10" t="s">
        <v>70</v>
      </c>
    </row>
    <row r="41" spans="1:12" x14ac:dyDescent="0.2">
      <c r="A41" s="10">
        <v>2</v>
      </c>
      <c r="C41" s="10">
        <v>72</v>
      </c>
      <c r="D41" s="10">
        <v>5901</v>
      </c>
      <c r="E41" s="10" t="s">
        <v>50</v>
      </c>
      <c r="F41" s="10">
        <v>1</v>
      </c>
      <c r="G41" s="10">
        <v>1</v>
      </c>
      <c r="H41" s="10">
        <v>0</v>
      </c>
      <c r="I41" s="10">
        <v>2</v>
      </c>
    </row>
    <row r="42" spans="1:12" x14ac:dyDescent="0.2">
      <c r="A42" s="10">
        <v>2</v>
      </c>
      <c r="C42" s="10">
        <v>72</v>
      </c>
      <c r="D42" s="10">
        <v>5902</v>
      </c>
      <c r="E42" s="10" t="s">
        <v>50</v>
      </c>
      <c r="F42" s="10">
        <v>2</v>
      </c>
      <c r="G42" s="10">
        <v>0</v>
      </c>
      <c r="H42" s="10">
        <v>2</v>
      </c>
      <c r="I42" s="10">
        <v>4</v>
      </c>
    </row>
    <row r="43" spans="1:12" x14ac:dyDescent="0.2">
      <c r="A43" s="10">
        <v>2</v>
      </c>
      <c r="C43" s="10">
        <v>72</v>
      </c>
      <c r="D43" s="10">
        <v>5903</v>
      </c>
      <c r="E43" s="10" t="s">
        <v>50</v>
      </c>
      <c r="F43" s="10">
        <v>0</v>
      </c>
      <c r="G43" s="10">
        <v>0</v>
      </c>
      <c r="H43" s="10">
        <v>0</v>
      </c>
      <c r="I43" s="10">
        <v>0</v>
      </c>
    </row>
    <row r="44" spans="1:12" x14ac:dyDescent="0.2">
      <c r="A44" s="10">
        <v>2</v>
      </c>
      <c r="C44" s="10">
        <v>72</v>
      </c>
      <c r="D44" s="10">
        <v>5904</v>
      </c>
      <c r="E44" s="10" t="s">
        <v>50</v>
      </c>
      <c r="F44" s="10">
        <v>1</v>
      </c>
      <c r="G44" s="10">
        <v>0</v>
      </c>
      <c r="H44" s="10">
        <v>0</v>
      </c>
      <c r="I44" s="10">
        <v>1</v>
      </c>
    </row>
    <row r="45" spans="1:12" x14ac:dyDescent="0.2">
      <c r="A45" s="10">
        <v>2</v>
      </c>
      <c r="C45" s="10">
        <v>72</v>
      </c>
      <c r="D45" s="10">
        <v>5905</v>
      </c>
      <c r="E45" s="10" t="s">
        <v>50</v>
      </c>
      <c r="F45" s="10">
        <v>0</v>
      </c>
      <c r="G45" s="10">
        <v>0</v>
      </c>
      <c r="H45" s="10">
        <v>0</v>
      </c>
      <c r="I45" s="10">
        <v>0</v>
      </c>
    </row>
    <row r="46" spans="1:12" x14ac:dyDescent="0.2">
      <c r="A46" s="10">
        <v>2</v>
      </c>
      <c r="C46" s="10">
        <v>72</v>
      </c>
      <c r="D46" s="10">
        <v>5906</v>
      </c>
      <c r="E46" s="10" t="s">
        <v>50</v>
      </c>
      <c r="F46" s="10">
        <v>1</v>
      </c>
      <c r="G46" s="10">
        <v>0</v>
      </c>
      <c r="H46" s="10">
        <v>0</v>
      </c>
      <c r="I46" s="10">
        <v>1</v>
      </c>
    </row>
    <row r="47" spans="1:12" x14ac:dyDescent="0.2">
      <c r="A47" s="10">
        <v>2</v>
      </c>
      <c r="C47" s="10">
        <v>72</v>
      </c>
      <c r="D47" s="10">
        <v>5907</v>
      </c>
      <c r="E47" s="10" t="s">
        <v>50</v>
      </c>
      <c r="F47" s="10">
        <v>2</v>
      </c>
      <c r="G47" s="10">
        <v>2</v>
      </c>
      <c r="H47" s="10">
        <v>3</v>
      </c>
      <c r="I47" s="10">
        <v>7</v>
      </c>
    </row>
    <row r="48" spans="1:12" x14ac:dyDescent="0.2">
      <c r="A48" s="10">
        <v>2</v>
      </c>
      <c r="C48" s="10">
        <v>72</v>
      </c>
      <c r="D48" s="10">
        <v>5908</v>
      </c>
      <c r="E48" s="10" t="s">
        <v>50</v>
      </c>
      <c r="F48" s="10">
        <v>0</v>
      </c>
      <c r="G48" s="10">
        <v>0</v>
      </c>
      <c r="H48" s="10">
        <v>0</v>
      </c>
      <c r="I48" s="10">
        <v>0</v>
      </c>
    </row>
    <row r="49" spans="1:9" x14ac:dyDescent="0.2">
      <c r="A49" s="10">
        <v>2</v>
      </c>
      <c r="C49" s="10">
        <v>72</v>
      </c>
      <c r="D49" s="10">
        <v>5891</v>
      </c>
      <c r="E49" s="10" t="s">
        <v>38</v>
      </c>
    </row>
    <row r="50" spans="1:9" x14ac:dyDescent="0.2">
      <c r="A50" s="10">
        <v>2</v>
      </c>
      <c r="C50" s="10">
        <v>72</v>
      </c>
      <c r="D50" s="10">
        <v>5892</v>
      </c>
      <c r="E50" s="10" t="s">
        <v>38</v>
      </c>
      <c r="F50" s="10">
        <v>1</v>
      </c>
      <c r="G50" s="10">
        <v>2</v>
      </c>
      <c r="H50" s="10">
        <v>3</v>
      </c>
      <c r="I50" s="10">
        <v>6</v>
      </c>
    </row>
    <row r="51" spans="1:9" x14ac:dyDescent="0.2">
      <c r="A51" s="10">
        <v>2</v>
      </c>
      <c r="C51" s="10">
        <v>72</v>
      </c>
      <c r="D51" s="10">
        <v>5893</v>
      </c>
      <c r="E51" s="10" t="s">
        <v>38</v>
      </c>
      <c r="F51" s="10">
        <v>1</v>
      </c>
      <c r="G51" s="10">
        <v>0</v>
      </c>
      <c r="H51" s="10">
        <v>0</v>
      </c>
      <c r="I51" s="10">
        <v>1</v>
      </c>
    </row>
    <row r="52" spans="1:9" x14ac:dyDescent="0.2">
      <c r="A52" s="10">
        <v>2</v>
      </c>
      <c r="C52" s="10">
        <v>72</v>
      </c>
      <c r="D52" s="10">
        <v>5894</v>
      </c>
      <c r="E52" s="10" t="s">
        <v>38</v>
      </c>
      <c r="F52" s="10">
        <v>0</v>
      </c>
      <c r="G52" s="10">
        <v>0</v>
      </c>
      <c r="H52" s="10">
        <v>0</v>
      </c>
      <c r="I52" s="10">
        <v>0</v>
      </c>
    </row>
    <row r="53" spans="1:9" x14ac:dyDescent="0.2">
      <c r="A53" s="10">
        <v>2</v>
      </c>
      <c r="C53" s="10">
        <v>72</v>
      </c>
      <c r="D53" s="10">
        <v>5895</v>
      </c>
      <c r="E53" s="10" t="s">
        <v>38</v>
      </c>
      <c r="F53" s="10">
        <v>0</v>
      </c>
      <c r="G53" s="10">
        <v>0</v>
      </c>
      <c r="H53" s="10">
        <v>0</v>
      </c>
      <c r="I53" s="10">
        <v>0</v>
      </c>
    </row>
    <row r="54" spans="1:9" x14ac:dyDescent="0.2">
      <c r="A54" s="10">
        <v>2</v>
      </c>
      <c r="C54" s="10">
        <v>72</v>
      </c>
      <c r="D54" s="10">
        <v>5896</v>
      </c>
      <c r="E54" s="10" t="s">
        <v>38</v>
      </c>
      <c r="F54" s="10">
        <v>0</v>
      </c>
      <c r="G54" s="10">
        <v>0</v>
      </c>
      <c r="H54" s="10">
        <v>0</v>
      </c>
      <c r="I54" s="10">
        <v>0</v>
      </c>
    </row>
    <row r="55" spans="1:9" x14ac:dyDescent="0.2">
      <c r="A55" s="10">
        <v>2</v>
      </c>
      <c r="C55" s="10">
        <v>72</v>
      </c>
      <c r="D55" s="10">
        <v>5897</v>
      </c>
      <c r="E55" s="10" t="s">
        <v>38</v>
      </c>
      <c r="F55" s="10">
        <v>0</v>
      </c>
      <c r="G55" s="10">
        <v>0</v>
      </c>
      <c r="H55" s="10">
        <v>0</v>
      </c>
      <c r="I55" s="10">
        <v>0</v>
      </c>
    </row>
    <row r="56" spans="1:9" x14ac:dyDescent="0.2">
      <c r="A56" s="10">
        <v>2</v>
      </c>
      <c r="C56" s="10">
        <v>72</v>
      </c>
      <c r="D56" s="10">
        <v>5898</v>
      </c>
      <c r="E56" s="10" t="s">
        <v>38</v>
      </c>
      <c r="F56" s="10">
        <v>1</v>
      </c>
      <c r="G56" s="10">
        <v>0</v>
      </c>
      <c r="H56" s="10">
        <v>0</v>
      </c>
      <c r="I56" s="10">
        <v>1</v>
      </c>
    </row>
    <row r="57" spans="1:9" x14ac:dyDescent="0.2">
      <c r="A57" s="10">
        <v>2</v>
      </c>
      <c r="C57" s="10">
        <v>72</v>
      </c>
      <c r="D57" s="10">
        <v>5899</v>
      </c>
      <c r="E57" s="10" t="s">
        <v>38</v>
      </c>
      <c r="F57" s="10">
        <v>3</v>
      </c>
      <c r="G57" s="10">
        <v>3</v>
      </c>
      <c r="H57" s="10">
        <v>2</v>
      </c>
      <c r="I57" s="10">
        <v>8</v>
      </c>
    </row>
    <row r="58" spans="1:9" x14ac:dyDescent="0.2">
      <c r="A58" s="10">
        <v>2</v>
      </c>
      <c r="C58" s="10">
        <v>72</v>
      </c>
      <c r="D58" s="10">
        <v>5872</v>
      </c>
      <c r="E58" s="10" t="s">
        <v>48</v>
      </c>
      <c r="F58" s="10">
        <v>5</v>
      </c>
      <c r="G58" s="10">
        <v>3</v>
      </c>
      <c r="H58" s="10">
        <v>3</v>
      </c>
      <c r="I58" s="10">
        <v>11</v>
      </c>
    </row>
    <row r="59" spans="1:9" x14ac:dyDescent="0.2">
      <c r="A59" s="10">
        <v>2</v>
      </c>
      <c r="C59" s="10">
        <v>72</v>
      </c>
      <c r="D59" s="10">
        <v>5873</v>
      </c>
      <c r="E59" s="10" t="s">
        <v>48</v>
      </c>
      <c r="F59" s="10">
        <v>3</v>
      </c>
      <c r="G59" s="10">
        <v>2</v>
      </c>
      <c r="H59" s="10">
        <v>0</v>
      </c>
      <c r="I59" s="10">
        <v>5</v>
      </c>
    </row>
    <row r="60" spans="1:9" x14ac:dyDescent="0.2">
      <c r="A60" s="10">
        <v>2</v>
      </c>
      <c r="C60" s="10">
        <v>72</v>
      </c>
      <c r="D60" s="10">
        <v>5874</v>
      </c>
      <c r="E60" s="10" t="s">
        <v>48</v>
      </c>
      <c r="F60" s="10">
        <v>4</v>
      </c>
      <c r="G60" s="10">
        <v>5</v>
      </c>
      <c r="H60" s="10">
        <v>1</v>
      </c>
      <c r="I60" s="10">
        <v>10</v>
      </c>
    </row>
    <row r="61" spans="1:9" x14ac:dyDescent="0.2">
      <c r="A61" s="10">
        <v>2</v>
      </c>
      <c r="C61" s="10">
        <v>72</v>
      </c>
      <c r="D61" s="10">
        <v>5875</v>
      </c>
      <c r="E61" s="10" t="s">
        <v>48</v>
      </c>
      <c r="F61" s="10">
        <v>3</v>
      </c>
      <c r="G61" s="10">
        <v>3</v>
      </c>
      <c r="H61" s="10">
        <v>2</v>
      </c>
      <c r="I61" s="10">
        <v>8</v>
      </c>
    </row>
    <row r="62" spans="1:9" x14ac:dyDescent="0.2">
      <c r="A62" s="10">
        <v>2</v>
      </c>
      <c r="C62" s="10">
        <v>72</v>
      </c>
      <c r="D62" s="10">
        <v>5876</v>
      </c>
      <c r="E62" s="10" t="s">
        <v>48</v>
      </c>
      <c r="F62" s="10">
        <v>6</v>
      </c>
      <c r="G62" s="10">
        <v>7</v>
      </c>
      <c r="H62" s="10">
        <v>3</v>
      </c>
      <c r="I62" s="10">
        <v>16</v>
      </c>
    </row>
    <row r="63" spans="1:9" x14ac:dyDescent="0.2">
      <c r="A63" s="10">
        <v>2</v>
      </c>
      <c r="C63" s="10">
        <v>72</v>
      </c>
      <c r="D63" s="10">
        <v>5877</v>
      </c>
      <c r="E63" s="10" t="s">
        <v>48</v>
      </c>
      <c r="F63" s="10">
        <v>4</v>
      </c>
      <c r="G63" s="10">
        <v>3</v>
      </c>
      <c r="H63" s="10">
        <v>3</v>
      </c>
      <c r="I63" s="10">
        <v>10</v>
      </c>
    </row>
    <row r="64" spans="1:9" x14ac:dyDescent="0.2">
      <c r="A64" s="10">
        <v>2</v>
      </c>
      <c r="C64" s="10">
        <v>72</v>
      </c>
      <c r="D64" s="10">
        <v>5879</v>
      </c>
      <c r="E64" s="10" t="s">
        <v>48</v>
      </c>
      <c r="F64" s="10">
        <v>6</v>
      </c>
      <c r="G64" s="10">
        <v>4</v>
      </c>
      <c r="H64" s="10">
        <v>0</v>
      </c>
      <c r="I64" s="10">
        <v>10</v>
      </c>
    </row>
    <row r="65" spans="1:11" x14ac:dyDescent="0.2">
      <c r="A65" s="10">
        <v>2</v>
      </c>
      <c r="C65" s="10">
        <v>72</v>
      </c>
      <c r="D65" s="10">
        <v>5880</v>
      </c>
      <c r="E65" s="10" t="s">
        <v>48</v>
      </c>
      <c r="F65" s="10">
        <v>3</v>
      </c>
      <c r="G65" s="10">
        <v>3</v>
      </c>
      <c r="H65" s="10">
        <v>3</v>
      </c>
      <c r="I65" s="10">
        <v>9</v>
      </c>
    </row>
    <row r="66" spans="1:11" x14ac:dyDescent="0.2">
      <c r="A66" s="10">
        <v>2</v>
      </c>
      <c r="C66" s="10">
        <v>72</v>
      </c>
      <c r="D66" s="10">
        <v>5881</v>
      </c>
      <c r="E66" s="10" t="s">
        <v>48</v>
      </c>
      <c r="F66" s="10">
        <v>5</v>
      </c>
      <c r="G66" s="10">
        <v>4</v>
      </c>
      <c r="H66" s="10">
        <v>3</v>
      </c>
      <c r="I66" s="10">
        <v>12</v>
      </c>
    </row>
    <row r="67" spans="1:11" x14ac:dyDescent="0.2">
      <c r="A67" s="10">
        <v>2</v>
      </c>
      <c r="C67" s="10">
        <v>72</v>
      </c>
      <c r="D67" s="10">
        <v>5882</v>
      </c>
      <c r="E67" s="10" t="s">
        <v>49</v>
      </c>
      <c r="F67" s="10">
        <v>5</v>
      </c>
      <c r="G67" s="10">
        <v>3</v>
      </c>
      <c r="H67" s="10">
        <v>3</v>
      </c>
      <c r="I67" s="10">
        <v>11</v>
      </c>
    </row>
    <row r="68" spans="1:11" x14ac:dyDescent="0.2">
      <c r="A68" s="10">
        <v>2</v>
      </c>
      <c r="C68" s="10">
        <v>72</v>
      </c>
      <c r="D68" s="10">
        <v>5883</v>
      </c>
      <c r="E68" s="10" t="s">
        <v>49</v>
      </c>
      <c r="F68" s="10">
        <v>4</v>
      </c>
      <c r="G68" s="10">
        <v>4</v>
      </c>
      <c r="H68" s="10">
        <v>1</v>
      </c>
      <c r="I68" s="10">
        <v>9</v>
      </c>
    </row>
    <row r="69" spans="1:11" x14ac:dyDescent="0.2">
      <c r="A69" s="10">
        <v>2</v>
      </c>
      <c r="C69" s="10">
        <v>72</v>
      </c>
      <c r="D69" s="10">
        <v>5884</v>
      </c>
      <c r="E69" s="10" t="s">
        <v>49</v>
      </c>
      <c r="F69" s="10">
        <v>7</v>
      </c>
      <c r="G69" s="10">
        <v>6</v>
      </c>
      <c r="H69" s="10">
        <v>12</v>
      </c>
      <c r="I69" s="10">
        <v>25</v>
      </c>
    </row>
    <row r="70" spans="1:11" x14ac:dyDescent="0.2">
      <c r="A70" s="10">
        <v>2</v>
      </c>
      <c r="C70" s="10">
        <v>72</v>
      </c>
      <c r="D70" s="10">
        <v>5885</v>
      </c>
      <c r="E70" s="10" t="s">
        <v>49</v>
      </c>
    </row>
    <row r="71" spans="1:11" x14ac:dyDescent="0.2">
      <c r="A71" s="10">
        <v>2</v>
      </c>
      <c r="C71" s="10">
        <v>72</v>
      </c>
      <c r="D71" s="10">
        <v>5886</v>
      </c>
      <c r="E71" s="10" t="s">
        <v>49</v>
      </c>
      <c r="F71" s="10">
        <v>5</v>
      </c>
      <c r="G71" s="10">
        <v>7</v>
      </c>
      <c r="H71" s="10">
        <v>3</v>
      </c>
      <c r="I71" s="10">
        <v>15</v>
      </c>
    </row>
    <row r="72" spans="1:11" x14ac:dyDescent="0.2">
      <c r="A72" s="10">
        <v>2</v>
      </c>
      <c r="C72" s="10">
        <v>72</v>
      </c>
      <c r="D72" s="10">
        <v>5887</v>
      </c>
      <c r="E72" s="10" t="s">
        <v>49</v>
      </c>
      <c r="F72" s="10">
        <v>5</v>
      </c>
      <c r="G72" s="10">
        <v>5</v>
      </c>
      <c r="H72" s="10">
        <v>2</v>
      </c>
      <c r="I72" s="10">
        <v>12</v>
      </c>
    </row>
    <row r="73" spans="1:11" x14ac:dyDescent="0.2">
      <c r="A73" s="10">
        <v>2</v>
      </c>
      <c r="C73" s="10">
        <v>72</v>
      </c>
      <c r="D73" s="10">
        <v>5888</v>
      </c>
      <c r="E73" s="10" t="s">
        <v>49</v>
      </c>
      <c r="F73" s="10">
        <v>6</v>
      </c>
      <c r="G73" s="10">
        <v>4</v>
      </c>
      <c r="H73" s="10">
        <v>6</v>
      </c>
      <c r="I73" s="10">
        <v>16</v>
      </c>
    </row>
    <row r="74" spans="1:11" x14ac:dyDescent="0.2">
      <c r="A74" s="10">
        <v>2</v>
      </c>
      <c r="C74" s="10">
        <v>72</v>
      </c>
      <c r="D74" s="10">
        <v>5889</v>
      </c>
      <c r="E74" s="10" t="s">
        <v>49</v>
      </c>
      <c r="F74" s="10">
        <v>0</v>
      </c>
      <c r="G74" s="10">
        <v>0</v>
      </c>
      <c r="H74" s="10">
        <v>0</v>
      </c>
      <c r="I74" s="10">
        <v>0</v>
      </c>
    </row>
    <row r="75" spans="1:11" x14ac:dyDescent="0.2">
      <c r="A75" s="10">
        <v>2</v>
      </c>
      <c r="C75" s="10">
        <v>72</v>
      </c>
      <c r="D75" s="10">
        <v>5890</v>
      </c>
      <c r="E75" s="10" t="s">
        <v>49</v>
      </c>
      <c r="F75" s="10">
        <v>9</v>
      </c>
      <c r="G75" s="10">
        <v>9</v>
      </c>
      <c r="H75" s="10">
        <v>8</v>
      </c>
      <c r="I75" s="10">
        <v>26</v>
      </c>
    </row>
    <row r="77" spans="1:11" x14ac:dyDescent="0.2">
      <c r="F77" s="34" t="s">
        <v>72</v>
      </c>
      <c r="G77" s="34"/>
    </row>
    <row r="78" spans="1:11" x14ac:dyDescent="0.2">
      <c r="F78" s="7" t="s">
        <v>45</v>
      </c>
      <c r="G78" s="7" t="s">
        <v>46</v>
      </c>
      <c r="K78" s="10" t="s">
        <v>71</v>
      </c>
    </row>
    <row r="79" spans="1:11" x14ac:dyDescent="0.2">
      <c r="A79" s="10">
        <v>2</v>
      </c>
      <c r="C79" s="10">
        <v>62</v>
      </c>
      <c r="D79" s="10">
        <v>5900</v>
      </c>
      <c r="E79" s="10" t="s">
        <v>50</v>
      </c>
      <c r="F79" s="10">
        <v>0.32900000000000001</v>
      </c>
      <c r="G79" s="10">
        <v>1.8599999999999998E-2</v>
      </c>
    </row>
    <row r="80" spans="1:11" x14ac:dyDescent="0.2">
      <c r="A80" s="10">
        <v>2</v>
      </c>
      <c r="C80" s="10">
        <v>62</v>
      </c>
      <c r="D80" s="10">
        <v>5901</v>
      </c>
      <c r="E80" s="10" t="s">
        <v>50</v>
      </c>
      <c r="F80" s="10">
        <v>2.5399999999999999E-2</v>
      </c>
      <c r="G80" s="10">
        <v>0.126</v>
      </c>
    </row>
    <row r="81" spans="1:7" x14ac:dyDescent="0.2">
      <c r="A81" s="10">
        <v>2</v>
      </c>
      <c r="C81" s="10">
        <v>62</v>
      </c>
      <c r="D81" s="10">
        <v>5902</v>
      </c>
      <c r="E81" s="10" t="s">
        <v>50</v>
      </c>
      <c r="F81" s="10">
        <v>0.11799999999999999</v>
      </c>
      <c r="G81" s="10">
        <v>3.2000000000000001E-2</v>
      </c>
    </row>
    <row r="82" spans="1:7" x14ac:dyDescent="0.2">
      <c r="A82" s="10">
        <v>2</v>
      </c>
      <c r="C82" s="10">
        <v>62</v>
      </c>
      <c r="D82" s="10">
        <v>5903</v>
      </c>
      <c r="E82" s="10" t="s">
        <v>50</v>
      </c>
      <c r="F82" s="10">
        <v>9.06E-2</v>
      </c>
      <c r="G82" s="10">
        <v>0.02</v>
      </c>
    </row>
    <row r="83" spans="1:7" x14ac:dyDescent="0.2">
      <c r="A83" s="10">
        <v>2</v>
      </c>
      <c r="C83" s="10">
        <v>62</v>
      </c>
      <c r="D83" s="10">
        <v>5904</v>
      </c>
      <c r="E83" s="10" t="s">
        <v>50</v>
      </c>
      <c r="F83" s="10">
        <v>0.11700000000000001</v>
      </c>
      <c r="G83" s="10">
        <v>7.3200000000000001E-2</v>
      </c>
    </row>
    <row r="84" spans="1:7" x14ac:dyDescent="0.2">
      <c r="A84" s="10">
        <v>2</v>
      </c>
      <c r="C84" s="10">
        <v>62</v>
      </c>
      <c r="D84" s="10">
        <v>5905</v>
      </c>
      <c r="E84" s="10" t="s">
        <v>50</v>
      </c>
      <c r="F84" s="10">
        <v>4.1500000000000002E-2</v>
      </c>
      <c r="G84" s="10">
        <v>1.21E-2</v>
      </c>
    </row>
    <row r="85" spans="1:7" x14ac:dyDescent="0.2">
      <c r="A85" s="10">
        <v>2</v>
      </c>
      <c r="C85" s="10">
        <v>62</v>
      </c>
      <c r="D85" s="10">
        <v>5906</v>
      </c>
      <c r="E85" s="10" t="s">
        <v>50</v>
      </c>
      <c r="F85" s="10">
        <v>0.17599999999999999</v>
      </c>
      <c r="G85" s="10">
        <v>3.2199999999999999E-2</v>
      </c>
    </row>
    <row r="86" spans="1:7" x14ac:dyDescent="0.2">
      <c r="A86" s="10">
        <v>2</v>
      </c>
      <c r="C86" s="10">
        <v>62</v>
      </c>
      <c r="D86" s="10">
        <v>5907</v>
      </c>
      <c r="E86" s="10" t="s">
        <v>50</v>
      </c>
      <c r="F86" s="10">
        <v>2.7699999999999999E-2</v>
      </c>
      <c r="G86" s="10">
        <v>2.29E-2</v>
      </c>
    </row>
    <row r="87" spans="1:7" x14ac:dyDescent="0.2">
      <c r="A87" s="10">
        <v>2</v>
      </c>
      <c r="C87" s="10">
        <v>62</v>
      </c>
      <c r="D87" s="10">
        <v>5908</v>
      </c>
      <c r="E87" s="10" t="s">
        <v>50</v>
      </c>
      <c r="F87" s="10">
        <v>0</v>
      </c>
      <c r="G87" s="10">
        <v>3.1399999999999997E-2</v>
      </c>
    </row>
    <row r="88" spans="1:7" x14ac:dyDescent="0.2">
      <c r="A88" s="10">
        <v>2</v>
      </c>
      <c r="C88" s="10">
        <v>62</v>
      </c>
      <c r="D88" s="10">
        <v>5891</v>
      </c>
      <c r="E88" s="10" t="s">
        <v>38</v>
      </c>
    </row>
    <row r="89" spans="1:7" x14ac:dyDescent="0.2">
      <c r="A89" s="10">
        <v>2</v>
      </c>
      <c r="C89" s="10">
        <v>62</v>
      </c>
      <c r="D89" s="10">
        <v>5892</v>
      </c>
      <c r="E89" s="10" t="s">
        <v>38</v>
      </c>
      <c r="F89" s="10">
        <v>0.113</v>
      </c>
      <c r="G89" s="10">
        <v>8.2299999999999995E-3</v>
      </c>
    </row>
    <row r="90" spans="1:7" x14ac:dyDescent="0.2">
      <c r="A90" s="10">
        <v>2</v>
      </c>
      <c r="C90" s="10">
        <v>62</v>
      </c>
      <c r="D90" s="10">
        <v>5893</v>
      </c>
      <c r="E90" s="10" t="s">
        <v>38</v>
      </c>
      <c r="F90" s="10">
        <v>0.33900000000000002</v>
      </c>
      <c r="G90" s="10">
        <v>7.6200000000000004E-2</v>
      </c>
    </row>
    <row r="91" spans="1:7" x14ac:dyDescent="0.2">
      <c r="A91" s="10">
        <v>2</v>
      </c>
      <c r="C91" s="10">
        <v>62</v>
      </c>
      <c r="D91" s="10">
        <v>5894</v>
      </c>
      <c r="E91" s="10" t="s">
        <v>38</v>
      </c>
      <c r="F91" s="10">
        <v>9.7199999999999995E-2</v>
      </c>
      <c r="G91" s="10">
        <v>1.55E-2</v>
      </c>
    </row>
    <row r="92" spans="1:7" x14ac:dyDescent="0.2">
      <c r="A92" s="10">
        <v>2</v>
      </c>
      <c r="C92" s="10">
        <v>62</v>
      </c>
      <c r="D92" s="10">
        <v>5895</v>
      </c>
      <c r="E92" s="10" t="s">
        <v>38</v>
      </c>
      <c r="F92" s="10">
        <v>1.7999999999999999E-2</v>
      </c>
      <c r="G92" s="10">
        <v>2.6100000000000002E-2</v>
      </c>
    </row>
    <row r="93" spans="1:7" x14ac:dyDescent="0.2">
      <c r="A93" s="10">
        <v>2</v>
      </c>
      <c r="C93" s="10">
        <v>62</v>
      </c>
      <c r="D93" s="10">
        <v>5896</v>
      </c>
      <c r="E93" s="10" t="s">
        <v>38</v>
      </c>
      <c r="F93" s="10">
        <v>0.20300000000000001</v>
      </c>
      <c r="G93" s="10">
        <v>2.1499999999999998E-2</v>
      </c>
    </row>
    <row r="94" spans="1:7" x14ac:dyDescent="0.2">
      <c r="A94" s="10">
        <v>2</v>
      </c>
      <c r="C94" s="10">
        <v>62</v>
      </c>
      <c r="D94" s="10">
        <v>5897</v>
      </c>
      <c r="E94" s="10" t="s">
        <v>38</v>
      </c>
      <c r="F94" s="10">
        <v>4.7399999999999998E-2</v>
      </c>
      <c r="G94" s="10">
        <v>2.2200000000000001E-2</v>
      </c>
    </row>
    <row r="95" spans="1:7" x14ac:dyDescent="0.2">
      <c r="A95" s="10">
        <v>2</v>
      </c>
      <c r="C95" s="10">
        <v>62</v>
      </c>
      <c r="D95" s="10">
        <v>5898</v>
      </c>
      <c r="E95" s="10" t="s">
        <v>38</v>
      </c>
      <c r="F95" s="10">
        <v>3.3700000000000001E-2</v>
      </c>
      <c r="G95" s="10">
        <v>1.44E-2</v>
      </c>
    </row>
    <row r="96" spans="1:7" x14ac:dyDescent="0.2">
      <c r="A96" s="10">
        <v>2</v>
      </c>
      <c r="C96" s="10">
        <v>62</v>
      </c>
      <c r="D96" s="10">
        <v>5899</v>
      </c>
      <c r="E96" s="10" t="s">
        <v>38</v>
      </c>
      <c r="F96" s="10">
        <v>9.1600000000000001E-2</v>
      </c>
      <c r="G96" s="10">
        <v>0.245</v>
      </c>
    </row>
    <row r="97" spans="1:7" x14ac:dyDescent="0.2">
      <c r="A97" s="10">
        <v>2</v>
      </c>
      <c r="C97" s="10">
        <v>62</v>
      </c>
      <c r="D97" s="10">
        <v>5872</v>
      </c>
      <c r="E97" s="10" t="s">
        <v>48</v>
      </c>
      <c r="F97" s="10">
        <v>0.625</v>
      </c>
      <c r="G97" s="10">
        <v>0.22</v>
      </c>
    </row>
    <row r="98" spans="1:7" x14ac:dyDescent="0.2">
      <c r="A98" s="10">
        <v>2</v>
      </c>
      <c r="C98" s="10">
        <v>62</v>
      </c>
      <c r="D98" s="10">
        <v>5873</v>
      </c>
      <c r="E98" s="10" t="s">
        <v>48</v>
      </c>
      <c r="F98" s="10">
        <v>0.19400000000000001</v>
      </c>
      <c r="G98" s="10">
        <v>0.55000000000000004</v>
      </c>
    </row>
    <row r="99" spans="1:7" x14ac:dyDescent="0.2">
      <c r="A99" s="10">
        <v>2</v>
      </c>
      <c r="C99" s="10">
        <v>62</v>
      </c>
      <c r="D99" s="10">
        <v>5874</v>
      </c>
      <c r="E99" s="10" t="s">
        <v>48</v>
      </c>
      <c r="F99" s="10">
        <v>9.92</v>
      </c>
      <c r="G99" s="10">
        <v>0.49199999999999999</v>
      </c>
    </row>
    <row r="100" spans="1:7" x14ac:dyDescent="0.2">
      <c r="A100" s="10">
        <v>2</v>
      </c>
      <c r="C100" s="10">
        <v>62</v>
      </c>
      <c r="D100" s="10">
        <v>5875</v>
      </c>
      <c r="E100" s="10" t="s">
        <v>48</v>
      </c>
      <c r="F100" s="10">
        <v>2.42</v>
      </c>
      <c r="G100" s="10">
        <v>0.107</v>
      </c>
    </row>
    <row r="101" spans="1:7" x14ac:dyDescent="0.2">
      <c r="A101" s="10">
        <v>2</v>
      </c>
      <c r="C101" s="10">
        <v>62</v>
      </c>
      <c r="D101" s="10">
        <v>5876</v>
      </c>
      <c r="E101" s="10" t="s">
        <v>48</v>
      </c>
      <c r="F101" s="10">
        <v>10</v>
      </c>
      <c r="G101" s="10">
        <v>0.315</v>
      </c>
    </row>
    <row r="102" spans="1:7" x14ac:dyDescent="0.2">
      <c r="A102" s="10">
        <v>2</v>
      </c>
      <c r="C102" s="10">
        <v>62</v>
      </c>
      <c r="D102" s="10">
        <v>5877</v>
      </c>
      <c r="E102" s="10" t="s">
        <v>48</v>
      </c>
      <c r="F102" s="10">
        <v>3.7400000000000003E-2</v>
      </c>
      <c r="G102" s="10">
        <v>0.56499999999999995</v>
      </c>
    </row>
    <row r="103" spans="1:7" x14ac:dyDescent="0.2">
      <c r="A103" s="10">
        <v>2</v>
      </c>
      <c r="C103" s="10">
        <v>62</v>
      </c>
      <c r="D103" s="10">
        <v>5879</v>
      </c>
      <c r="E103" s="10" t="s">
        <v>48</v>
      </c>
      <c r="F103" s="10">
        <v>0.76600000000000001</v>
      </c>
      <c r="G103" s="10">
        <v>0.40200000000000002</v>
      </c>
    </row>
    <row r="104" spans="1:7" x14ac:dyDescent="0.2">
      <c r="A104" s="10">
        <v>2</v>
      </c>
      <c r="C104" s="10">
        <v>62</v>
      </c>
      <c r="D104" s="10">
        <v>5880</v>
      </c>
      <c r="E104" s="10" t="s">
        <v>48</v>
      </c>
      <c r="F104" s="10">
        <v>5.75</v>
      </c>
      <c r="G104" s="10">
        <v>0.39200000000000002</v>
      </c>
    </row>
    <row r="105" spans="1:7" x14ac:dyDescent="0.2">
      <c r="A105" s="10">
        <v>2</v>
      </c>
      <c r="C105" s="10">
        <v>62</v>
      </c>
      <c r="D105" s="10">
        <v>5881</v>
      </c>
      <c r="E105" s="10" t="s">
        <v>48</v>
      </c>
      <c r="F105" s="10">
        <v>1.19</v>
      </c>
      <c r="G105" s="10">
        <v>0.48199999999999998</v>
      </c>
    </row>
    <row r="106" spans="1:7" x14ac:dyDescent="0.2">
      <c r="A106" s="10">
        <v>2</v>
      </c>
      <c r="C106" s="10">
        <v>62</v>
      </c>
      <c r="D106" s="10">
        <v>5882</v>
      </c>
      <c r="E106" s="10" t="s">
        <v>49</v>
      </c>
      <c r="F106" s="10">
        <v>3.63</v>
      </c>
      <c r="G106" s="10">
        <v>0.23200000000000001</v>
      </c>
    </row>
    <row r="107" spans="1:7" x14ac:dyDescent="0.2">
      <c r="A107" s="10">
        <v>2</v>
      </c>
      <c r="C107" s="10">
        <v>62</v>
      </c>
      <c r="D107" s="10">
        <v>5883</v>
      </c>
      <c r="E107" s="10" t="s">
        <v>49</v>
      </c>
      <c r="F107" s="10">
        <v>4.6100000000000003</v>
      </c>
      <c r="G107" s="10">
        <v>0.11600000000000001</v>
      </c>
    </row>
    <row r="108" spans="1:7" x14ac:dyDescent="0.2">
      <c r="A108" s="10">
        <v>2</v>
      </c>
      <c r="C108" s="10">
        <v>62</v>
      </c>
      <c r="D108" s="10">
        <v>5884</v>
      </c>
      <c r="E108" s="10" t="s">
        <v>49</v>
      </c>
      <c r="F108" s="10">
        <v>1.26</v>
      </c>
      <c r="G108" s="10">
        <v>0.14499999999999999</v>
      </c>
    </row>
    <row r="109" spans="1:7" x14ac:dyDescent="0.2">
      <c r="A109" s="10">
        <v>2</v>
      </c>
      <c r="C109" s="10">
        <v>62</v>
      </c>
      <c r="D109" s="10">
        <v>5885</v>
      </c>
      <c r="E109" s="10" t="s">
        <v>49</v>
      </c>
    </row>
    <row r="110" spans="1:7" x14ac:dyDescent="0.2">
      <c r="A110" s="10">
        <v>2</v>
      </c>
      <c r="C110" s="10">
        <v>62</v>
      </c>
      <c r="D110" s="10">
        <v>5886</v>
      </c>
      <c r="E110" s="10" t="s">
        <v>49</v>
      </c>
      <c r="F110" s="10">
        <v>0.62</v>
      </c>
      <c r="G110" s="10">
        <v>0.21099999999999999</v>
      </c>
    </row>
    <row r="111" spans="1:7" x14ac:dyDescent="0.2">
      <c r="A111" s="10">
        <v>2</v>
      </c>
      <c r="C111" s="10">
        <v>62</v>
      </c>
      <c r="D111" s="10">
        <v>5887</v>
      </c>
      <c r="E111" s="10" t="s">
        <v>49</v>
      </c>
      <c r="F111" s="10">
        <v>0.91</v>
      </c>
      <c r="G111" s="10">
        <v>0.44500000000000001</v>
      </c>
    </row>
    <row r="112" spans="1:7" x14ac:dyDescent="0.2">
      <c r="A112" s="10">
        <v>2</v>
      </c>
      <c r="C112" s="10">
        <v>62</v>
      </c>
      <c r="D112" s="10">
        <v>5888</v>
      </c>
      <c r="E112" s="10" t="s">
        <v>49</v>
      </c>
      <c r="F112" s="10">
        <v>0.76</v>
      </c>
      <c r="G112" s="10">
        <v>0.14899999999999999</v>
      </c>
    </row>
    <row r="113" spans="1:7" x14ac:dyDescent="0.2">
      <c r="A113" s="10">
        <v>2</v>
      </c>
      <c r="C113" s="10">
        <v>62</v>
      </c>
      <c r="D113" s="10">
        <v>5889</v>
      </c>
      <c r="E113" s="10" t="s">
        <v>49</v>
      </c>
      <c r="F113" s="10">
        <v>2.76E-2</v>
      </c>
      <c r="G113" s="10">
        <v>8.2799999999999992E-3</v>
      </c>
    </row>
    <row r="114" spans="1:7" x14ac:dyDescent="0.2">
      <c r="A114" s="10">
        <v>2</v>
      </c>
      <c r="C114" s="10">
        <v>62</v>
      </c>
      <c r="D114" s="10">
        <v>5890</v>
      </c>
      <c r="E114" s="10" t="s">
        <v>49</v>
      </c>
      <c r="F114" s="10">
        <v>5.08</v>
      </c>
      <c r="G114" s="10">
        <v>0.36499999999999999</v>
      </c>
    </row>
  </sheetData>
  <mergeCells count="2">
    <mergeCell ref="F1:I1"/>
    <mergeCell ref="F77:G7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57"/>
  <sheetViews>
    <sheetView topLeftCell="L1" workbookViewId="0">
      <selection activeCell="N20" sqref="N20"/>
    </sheetView>
  </sheetViews>
  <sheetFormatPr baseColWidth="10" defaultRowHeight="16" x14ac:dyDescent="0.2"/>
  <sheetData>
    <row r="1" spans="1:31" s="18" customFormat="1" x14ac:dyDescent="0.2">
      <c r="C1" s="18" t="s">
        <v>61</v>
      </c>
      <c r="G1" s="18" t="s">
        <v>62</v>
      </c>
      <c r="K1" s="18" t="s">
        <v>63</v>
      </c>
      <c r="O1" s="18" t="s">
        <v>64</v>
      </c>
      <c r="S1" s="18" t="s">
        <v>65</v>
      </c>
      <c r="W1" s="18" t="s">
        <v>66</v>
      </c>
    </row>
    <row r="2" spans="1:31" s="18" customFormat="1" x14ac:dyDescent="0.2">
      <c r="A2" s="18" t="s">
        <v>0</v>
      </c>
      <c r="B2" s="18" t="s">
        <v>73</v>
      </c>
      <c r="C2" s="18" t="s">
        <v>55</v>
      </c>
      <c r="D2" s="18" t="s">
        <v>56</v>
      </c>
      <c r="E2" s="18" t="s">
        <v>57</v>
      </c>
      <c r="F2" s="18" t="s">
        <v>58</v>
      </c>
      <c r="G2" s="18" t="s">
        <v>55</v>
      </c>
      <c r="H2" s="18" t="s">
        <v>56</v>
      </c>
      <c r="I2" s="18" t="s">
        <v>57</v>
      </c>
      <c r="J2" s="18" t="s">
        <v>58</v>
      </c>
      <c r="K2" s="18" t="s">
        <v>55</v>
      </c>
      <c r="L2" s="18" t="s">
        <v>56</v>
      </c>
      <c r="M2" s="18" t="s">
        <v>57</v>
      </c>
      <c r="N2" s="18" t="s">
        <v>58</v>
      </c>
      <c r="O2" s="18" t="s">
        <v>55</v>
      </c>
      <c r="P2" s="18" t="s">
        <v>56</v>
      </c>
      <c r="Q2" s="18" t="s">
        <v>57</v>
      </c>
      <c r="R2" s="18" t="s">
        <v>58</v>
      </c>
      <c r="S2" s="18" t="s">
        <v>55</v>
      </c>
      <c r="T2" s="18" t="s">
        <v>56</v>
      </c>
      <c r="U2" s="18" t="s">
        <v>57</v>
      </c>
      <c r="V2" s="18" t="s">
        <v>58</v>
      </c>
      <c r="W2" s="18" t="s">
        <v>55</v>
      </c>
      <c r="X2" s="18" t="s">
        <v>56</v>
      </c>
      <c r="Y2" s="18" t="s">
        <v>57</v>
      </c>
      <c r="Z2" s="18" t="s">
        <v>58</v>
      </c>
      <c r="AA2" s="18" t="s">
        <v>38</v>
      </c>
      <c r="AB2" s="18" t="s">
        <v>48</v>
      </c>
      <c r="AC2" s="18" t="s">
        <v>0</v>
      </c>
      <c r="AD2" s="18" t="s">
        <v>59</v>
      </c>
      <c r="AE2" s="18" t="s">
        <v>60</v>
      </c>
    </row>
    <row r="3" spans="1:31" x14ac:dyDescent="0.2">
      <c r="A3">
        <v>1</v>
      </c>
      <c r="B3">
        <v>1</v>
      </c>
      <c r="C3" s="17">
        <v>4.5143200000000002E-7</v>
      </c>
      <c r="D3" s="17">
        <v>4.70556E-7</v>
      </c>
      <c r="E3" s="17">
        <v>4.5387399999999998E-7</v>
      </c>
      <c r="F3" s="17">
        <v>3.7084899999999999E-8</v>
      </c>
      <c r="G3">
        <v>118.66800000000001</v>
      </c>
      <c r="H3">
        <v>122.22</v>
      </c>
      <c r="I3">
        <v>124.023</v>
      </c>
      <c r="J3">
        <v>14.343500000000001</v>
      </c>
      <c r="K3">
        <v>40339.5</v>
      </c>
      <c r="L3">
        <v>60720.9</v>
      </c>
      <c r="M3">
        <v>31802.400000000001</v>
      </c>
      <c r="N3">
        <v>32438.2</v>
      </c>
      <c r="O3">
        <v>38.831800000000001</v>
      </c>
      <c r="P3">
        <v>40.369300000000003</v>
      </c>
      <c r="Q3">
        <v>35.354900000000001</v>
      </c>
      <c r="R3">
        <v>29.478999999999999</v>
      </c>
      <c r="S3">
        <v>2.0111500000000002</v>
      </c>
      <c r="T3">
        <v>2.7781600000000002</v>
      </c>
      <c r="U3">
        <v>1.7377800000000001</v>
      </c>
      <c r="V3">
        <v>1.21698</v>
      </c>
      <c r="W3">
        <v>1.5710500000000001</v>
      </c>
      <c r="X3">
        <v>1.8040700000000001</v>
      </c>
      <c r="Y3">
        <v>1.76397</v>
      </c>
      <c r="Z3">
        <v>0.40810000000000002</v>
      </c>
      <c r="AA3">
        <v>1</v>
      </c>
      <c r="AB3">
        <v>0</v>
      </c>
      <c r="AC3">
        <v>1</v>
      </c>
      <c r="AD3">
        <v>1</v>
      </c>
      <c r="AE3">
        <v>0</v>
      </c>
    </row>
    <row r="4" spans="1:31" x14ac:dyDescent="0.2">
      <c r="A4">
        <v>1</v>
      </c>
      <c r="B4">
        <v>2</v>
      </c>
      <c r="C4" s="17">
        <v>4.4494600000000002E-7</v>
      </c>
      <c r="D4" s="17">
        <v>4.53305E-7</v>
      </c>
      <c r="E4" s="17">
        <v>4.4731E-7</v>
      </c>
      <c r="F4" s="17">
        <v>2.8203600000000001E-8</v>
      </c>
      <c r="G4">
        <v>123.839</v>
      </c>
      <c r="H4">
        <v>106.474</v>
      </c>
      <c r="I4">
        <v>114.355</v>
      </c>
      <c r="J4">
        <v>12.324199999999999</v>
      </c>
      <c r="K4">
        <v>99896.6</v>
      </c>
      <c r="L4">
        <v>86996.1</v>
      </c>
      <c r="M4">
        <v>62624.9</v>
      </c>
      <c r="N4">
        <v>51735</v>
      </c>
      <c r="O4">
        <v>128.70699999999999</v>
      </c>
      <c r="P4">
        <v>119.15900000000001</v>
      </c>
      <c r="Q4">
        <v>87.736800000000002</v>
      </c>
      <c r="R4">
        <v>100.53100000000001</v>
      </c>
      <c r="S4">
        <v>1.7596400000000001</v>
      </c>
      <c r="T4">
        <v>1.50071</v>
      </c>
      <c r="U4">
        <v>1.2527699999999999</v>
      </c>
      <c r="V4">
        <v>0.83155999999999997</v>
      </c>
      <c r="W4">
        <v>1.76183</v>
      </c>
      <c r="X4">
        <v>1.38506</v>
      </c>
      <c r="Y4">
        <v>1.5875600000000001</v>
      </c>
      <c r="Z4">
        <v>0.36745299999999997</v>
      </c>
      <c r="AA4">
        <v>1</v>
      </c>
      <c r="AB4">
        <v>0</v>
      </c>
      <c r="AC4">
        <v>1</v>
      </c>
      <c r="AD4">
        <v>1</v>
      </c>
      <c r="AE4">
        <v>0</v>
      </c>
    </row>
    <row r="5" spans="1:31" x14ac:dyDescent="0.2">
      <c r="A5">
        <v>1</v>
      </c>
      <c r="B5">
        <v>3</v>
      </c>
      <c r="C5" s="17">
        <v>4.5916100000000002E-7</v>
      </c>
      <c r="D5" s="17">
        <v>4.49688E-7</v>
      </c>
      <c r="E5" s="17">
        <v>4.4488699999999998E-7</v>
      </c>
      <c r="F5" s="17">
        <v>3.6831900000000003E-8</v>
      </c>
      <c r="G5">
        <v>112.801</v>
      </c>
      <c r="H5">
        <v>114.054</v>
      </c>
      <c r="I5">
        <v>112.717</v>
      </c>
      <c r="J5">
        <v>13.3727</v>
      </c>
      <c r="K5">
        <v>171100</v>
      </c>
      <c r="L5">
        <v>141772</v>
      </c>
      <c r="M5">
        <v>152577</v>
      </c>
      <c r="N5">
        <v>73339</v>
      </c>
      <c r="O5">
        <v>492.7</v>
      </c>
      <c r="P5">
        <v>413.601</v>
      </c>
      <c r="Q5">
        <v>314.43400000000003</v>
      </c>
      <c r="R5">
        <v>374.14800000000002</v>
      </c>
      <c r="S5">
        <v>0.846414</v>
      </c>
      <c r="T5">
        <v>0.89894200000000002</v>
      </c>
      <c r="U5">
        <v>0.87690400000000002</v>
      </c>
      <c r="V5">
        <v>0.49959500000000001</v>
      </c>
      <c r="W5">
        <v>1.5508999999999999</v>
      </c>
      <c r="X5">
        <v>1.5404500000000001</v>
      </c>
      <c r="Y5">
        <v>1.5081599999999999</v>
      </c>
      <c r="Z5">
        <v>0.39543099999999998</v>
      </c>
      <c r="AA5">
        <v>1</v>
      </c>
      <c r="AB5">
        <v>0</v>
      </c>
      <c r="AC5">
        <v>1</v>
      </c>
      <c r="AD5">
        <v>1</v>
      </c>
      <c r="AE5">
        <v>0</v>
      </c>
    </row>
    <row r="6" spans="1:31" x14ac:dyDescent="0.2">
      <c r="A6">
        <v>1</v>
      </c>
      <c r="B6">
        <v>4</v>
      </c>
      <c r="C6" s="17">
        <v>4.4366100000000002E-7</v>
      </c>
      <c r="D6" s="17">
        <v>4.3565800000000002E-7</v>
      </c>
      <c r="E6" s="17">
        <v>4.4502100000000002E-7</v>
      </c>
      <c r="F6" s="17">
        <v>3.0525499999999998E-8</v>
      </c>
      <c r="G6">
        <v>106.803</v>
      </c>
      <c r="H6">
        <v>120.70399999999999</v>
      </c>
      <c r="I6">
        <v>112.684</v>
      </c>
      <c r="J6">
        <v>17.703099999999999</v>
      </c>
      <c r="K6">
        <v>407044</v>
      </c>
      <c r="L6">
        <v>289100</v>
      </c>
      <c r="M6">
        <v>183863</v>
      </c>
      <c r="N6">
        <v>213276</v>
      </c>
      <c r="O6">
        <v>584.18100000000004</v>
      </c>
      <c r="P6">
        <v>493.154</v>
      </c>
      <c r="Q6">
        <v>293.00099999999998</v>
      </c>
      <c r="R6">
        <v>390.20299999999997</v>
      </c>
      <c r="S6">
        <v>1.1803300000000001</v>
      </c>
      <c r="T6">
        <v>0.96037399999999995</v>
      </c>
      <c r="U6">
        <v>0.84924699999999997</v>
      </c>
      <c r="V6">
        <v>0.50240600000000002</v>
      </c>
      <c r="W6">
        <v>1.3261000000000001</v>
      </c>
      <c r="X6">
        <v>1.60964</v>
      </c>
      <c r="Y6">
        <v>1.5199199999999999</v>
      </c>
      <c r="Z6">
        <v>0.46348899999999998</v>
      </c>
      <c r="AA6">
        <v>1</v>
      </c>
      <c r="AB6">
        <v>0</v>
      </c>
      <c r="AC6">
        <v>1</v>
      </c>
      <c r="AD6">
        <v>1</v>
      </c>
      <c r="AE6">
        <v>0</v>
      </c>
    </row>
    <row r="7" spans="1:31" x14ac:dyDescent="0.2">
      <c r="A7">
        <v>1</v>
      </c>
      <c r="B7">
        <v>5</v>
      </c>
      <c r="C7" s="17">
        <v>4.1822E-7</v>
      </c>
      <c r="D7" s="17">
        <v>4.1723100000000001E-7</v>
      </c>
      <c r="E7" s="17">
        <v>4.26862E-7</v>
      </c>
      <c r="F7" s="17">
        <v>2.8749799999999998E-8</v>
      </c>
      <c r="G7">
        <v>62.379399999999997</v>
      </c>
      <c r="H7">
        <v>63.308199999999999</v>
      </c>
      <c r="I7">
        <v>62.5458</v>
      </c>
      <c r="J7">
        <v>15.587999999999999</v>
      </c>
      <c r="K7">
        <v>230266</v>
      </c>
      <c r="L7">
        <v>216313</v>
      </c>
      <c r="M7">
        <v>177673</v>
      </c>
      <c r="N7">
        <v>152589</v>
      </c>
      <c r="O7">
        <v>907.19</v>
      </c>
      <c r="P7">
        <v>878.02200000000005</v>
      </c>
      <c r="Q7">
        <v>614.29100000000005</v>
      </c>
      <c r="R7">
        <v>1011.56</v>
      </c>
      <c r="S7">
        <v>0.78813800000000001</v>
      </c>
      <c r="T7">
        <v>0.82457499999999995</v>
      </c>
      <c r="U7">
        <v>0.79139099999999996</v>
      </c>
      <c r="V7">
        <v>0.44231300000000001</v>
      </c>
      <c r="W7">
        <v>0.74738800000000005</v>
      </c>
      <c r="X7">
        <v>0.79433699999999996</v>
      </c>
      <c r="Y7">
        <v>0.78783800000000004</v>
      </c>
      <c r="Z7">
        <v>0.59886899999999998</v>
      </c>
      <c r="AA7">
        <v>0</v>
      </c>
      <c r="AB7">
        <v>0</v>
      </c>
      <c r="AC7">
        <v>1</v>
      </c>
      <c r="AD7">
        <v>0</v>
      </c>
      <c r="AE7">
        <v>0</v>
      </c>
    </row>
    <row r="8" spans="1:31" x14ac:dyDescent="0.2">
      <c r="A8">
        <v>1</v>
      </c>
      <c r="B8">
        <v>6</v>
      </c>
      <c r="C8" s="17">
        <v>4.3557799999999998E-7</v>
      </c>
      <c r="D8" s="17">
        <v>4.4859000000000002E-7</v>
      </c>
      <c r="E8" s="17">
        <v>4.33162E-7</v>
      </c>
      <c r="F8" s="17">
        <v>3.2698699999999998E-8</v>
      </c>
      <c r="G8">
        <v>63.372199999999999</v>
      </c>
      <c r="H8">
        <v>60.417200000000001</v>
      </c>
      <c r="I8">
        <v>62.473399999999998</v>
      </c>
      <c r="J8">
        <v>5.7446700000000002</v>
      </c>
      <c r="K8">
        <v>559339</v>
      </c>
      <c r="L8">
        <v>550044</v>
      </c>
      <c r="M8">
        <v>393674</v>
      </c>
      <c r="N8">
        <v>502761</v>
      </c>
      <c r="O8">
        <v>49.416499999999999</v>
      </c>
      <c r="P8">
        <v>34.919600000000003</v>
      </c>
      <c r="Q8">
        <v>22.982199999999999</v>
      </c>
      <c r="R8">
        <v>35.936500000000002</v>
      </c>
      <c r="S8">
        <v>0.70587699999999998</v>
      </c>
      <c r="T8">
        <v>0.74934299999999998</v>
      </c>
      <c r="U8">
        <v>0.73308399999999996</v>
      </c>
      <c r="V8">
        <v>0.35351900000000003</v>
      </c>
      <c r="W8">
        <v>0.109622</v>
      </c>
      <c r="X8">
        <v>0.10320600000000001</v>
      </c>
      <c r="Y8">
        <v>9.2952400000000004E-2</v>
      </c>
      <c r="Z8">
        <v>6.0797200000000003E-2</v>
      </c>
      <c r="AA8">
        <v>0</v>
      </c>
      <c r="AB8">
        <v>0</v>
      </c>
      <c r="AC8">
        <v>1</v>
      </c>
      <c r="AD8">
        <v>0</v>
      </c>
      <c r="AE8">
        <v>0</v>
      </c>
    </row>
    <row r="9" spans="1:31" x14ac:dyDescent="0.2">
      <c r="A9">
        <v>1</v>
      </c>
      <c r="B9">
        <v>7</v>
      </c>
      <c r="C9" s="17">
        <v>4.4047399999999998E-7</v>
      </c>
      <c r="D9" s="17">
        <v>4.4895299999999998E-7</v>
      </c>
      <c r="E9" s="17">
        <v>4.4661E-7</v>
      </c>
      <c r="F9" s="17">
        <v>3.2727900000000002E-8</v>
      </c>
      <c r="G9">
        <v>79.422200000000004</v>
      </c>
      <c r="H9">
        <v>77.575299999999999</v>
      </c>
      <c r="I9">
        <v>80.237399999999994</v>
      </c>
      <c r="J9">
        <v>6.3660500000000004</v>
      </c>
      <c r="K9">
        <v>1179560</v>
      </c>
      <c r="L9">
        <v>1366330</v>
      </c>
      <c r="M9">
        <v>817674</v>
      </c>
      <c r="N9">
        <v>1677630</v>
      </c>
      <c r="O9">
        <v>7.2141700000000002</v>
      </c>
      <c r="P9">
        <v>12.786</v>
      </c>
      <c r="Q9">
        <v>6.4334499999999997</v>
      </c>
      <c r="R9">
        <v>22.465800000000002</v>
      </c>
      <c r="S9">
        <v>0.58493200000000001</v>
      </c>
      <c r="T9">
        <v>0.52251400000000003</v>
      </c>
      <c r="U9">
        <v>0.54334199999999999</v>
      </c>
      <c r="V9">
        <v>0.30676199999999998</v>
      </c>
      <c r="W9">
        <v>0.58665900000000004</v>
      </c>
      <c r="X9">
        <v>0.59933400000000003</v>
      </c>
      <c r="Y9">
        <v>0.72390100000000002</v>
      </c>
      <c r="Z9">
        <v>0.25382399999999999</v>
      </c>
      <c r="AA9">
        <v>0</v>
      </c>
      <c r="AB9">
        <v>0</v>
      </c>
      <c r="AC9">
        <v>1</v>
      </c>
      <c r="AD9">
        <v>0</v>
      </c>
      <c r="AE9">
        <v>0</v>
      </c>
    </row>
    <row r="10" spans="1:31" x14ac:dyDescent="0.2">
      <c r="A10">
        <v>1</v>
      </c>
      <c r="B10">
        <v>8</v>
      </c>
      <c r="C10" s="17">
        <v>4.3858299999999998E-7</v>
      </c>
      <c r="D10" s="17">
        <v>4.32652E-7</v>
      </c>
      <c r="E10" s="17">
        <v>4.3706900000000001E-7</v>
      </c>
      <c r="F10" s="17">
        <v>3.1202399999999999E-8</v>
      </c>
      <c r="G10">
        <v>103.22</v>
      </c>
      <c r="H10">
        <v>98.493399999999994</v>
      </c>
      <c r="I10">
        <v>97.963800000000006</v>
      </c>
      <c r="J10">
        <v>11.195600000000001</v>
      </c>
      <c r="K10">
        <v>675318</v>
      </c>
      <c r="L10">
        <v>1172480</v>
      </c>
      <c r="M10">
        <v>263041</v>
      </c>
      <c r="N10">
        <v>1766520</v>
      </c>
      <c r="O10">
        <v>2.5617200000000002</v>
      </c>
      <c r="P10">
        <v>4.20078</v>
      </c>
      <c r="Q10">
        <v>1.43913</v>
      </c>
      <c r="R10">
        <v>6.1802599999999996</v>
      </c>
      <c r="S10">
        <v>0.64230299999999996</v>
      </c>
      <c r="T10">
        <v>0.56776599999999999</v>
      </c>
      <c r="U10">
        <v>0.56539399999999995</v>
      </c>
      <c r="V10">
        <v>0.38263599999999998</v>
      </c>
      <c r="W10">
        <v>1.3864700000000001</v>
      </c>
      <c r="X10">
        <v>1.16587</v>
      </c>
      <c r="Y10">
        <v>1.23952</v>
      </c>
      <c r="Z10">
        <v>0.305286</v>
      </c>
      <c r="AA10">
        <v>0</v>
      </c>
      <c r="AB10">
        <v>0</v>
      </c>
      <c r="AC10">
        <v>1</v>
      </c>
      <c r="AD10">
        <v>0</v>
      </c>
      <c r="AE10">
        <v>0</v>
      </c>
    </row>
    <row r="11" spans="1:31" x14ac:dyDescent="0.2">
      <c r="A11">
        <v>1</v>
      </c>
      <c r="B11">
        <v>9</v>
      </c>
      <c r="C11" s="17">
        <v>4.2958699999999999E-7</v>
      </c>
      <c r="D11" s="17">
        <v>4.2871199999999998E-7</v>
      </c>
      <c r="E11" s="17">
        <v>4.3100799999999999E-7</v>
      </c>
      <c r="F11" s="17">
        <v>3.0037E-8</v>
      </c>
      <c r="G11">
        <v>64.7029</v>
      </c>
      <c r="H11">
        <v>64.204899999999995</v>
      </c>
      <c r="I11">
        <v>63.853999999999999</v>
      </c>
      <c r="J11">
        <v>6.62636</v>
      </c>
      <c r="K11">
        <v>160279</v>
      </c>
      <c r="L11">
        <v>107806</v>
      </c>
      <c r="M11">
        <v>72519.600000000006</v>
      </c>
      <c r="N11">
        <v>81659.5</v>
      </c>
      <c r="O11">
        <v>82.358900000000006</v>
      </c>
      <c r="P11">
        <v>47.3078</v>
      </c>
      <c r="Q11">
        <v>26.558800000000002</v>
      </c>
      <c r="R11">
        <v>51.317799999999998</v>
      </c>
      <c r="S11">
        <v>1.1709700000000001</v>
      </c>
      <c r="T11">
        <v>1.35765</v>
      </c>
      <c r="U11">
        <v>1.22167</v>
      </c>
      <c r="V11">
        <v>0.87367399999999995</v>
      </c>
      <c r="W11">
        <v>0.13233300000000001</v>
      </c>
      <c r="X11">
        <v>0.119293</v>
      </c>
      <c r="Y11">
        <v>0.11718000000000001</v>
      </c>
      <c r="Z11">
        <v>7.3301599999999995E-2</v>
      </c>
      <c r="AA11">
        <v>0</v>
      </c>
      <c r="AB11">
        <v>0</v>
      </c>
      <c r="AC11">
        <v>1</v>
      </c>
      <c r="AD11">
        <v>0</v>
      </c>
      <c r="AE11">
        <v>0</v>
      </c>
    </row>
    <row r="12" spans="1:31" x14ac:dyDescent="0.2">
      <c r="A12">
        <v>1</v>
      </c>
      <c r="B12">
        <v>10</v>
      </c>
      <c r="C12" s="17">
        <v>4.4461000000000001E-7</v>
      </c>
      <c r="D12" s="17">
        <v>4.4526299999999998E-7</v>
      </c>
      <c r="E12" s="17">
        <v>4.4008200000000001E-7</v>
      </c>
      <c r="F12" s="17">
        <v>3.4964799999999998E-8</v>
      </c>
      <c r="G12">
        <v>72.572000000000003</v>
      </c>
      <c r="H12">
        <v>72.429900000000004</v>
      </c>
      <c r="I12">
        <v>73.471699999999998</v>
      </c>
      <c r="J12">
        <v>7.79068</v>
      </c>
      <c r="K12">
        <v>268511</v>
      </c>
      <c r="L12">
        <v>376367</v>
      </c>
      <c r="M12">
        <v>174434</v>
      </c>
      <c r="N12">
        <v>564028</v>
      </c>
      <c r="O12">
        <v>26.650400000000001</v>
      </c>
      <c r="P12">
        <v>24.726900000000001</v>
      </c>
      <c r="Q12">
        <v>20.651499999999999</v>
      </c>
      <c r="R12">
        <v>24.477900000000002</v>
      </c>
      <c r="S12">
        <v>0.829874</v>
      </c>
      <c r="T12">
        <v>0.87274200000000002</v>
      </c>
      <c r="U12">
        <v>0.72509299999999999</v>
      </c>
      <c r="V12">
        <v>0.40887299999999999</v>
      </c>
      <c r="W12">
        <v>0.15921399999999999</v>
      </c>
      <c r="X12">
        <v>0.15182799999999999</v>
      </c>
      <c r="Y12">
        <v>0.14475199999999999</v>
      </c>
      <c r="Z12">
        <v>9.0388399999999994E-2</v>
      </c>
      <c r="AA12">
        <v>0</v>
      </c>
      <c r="AB12">
        <v>0</v>
      </c>
      <c r="AC12">
        <v>1</v>
      </c>
      <c r="AD12">
        <v>0</v>
      </c>
      <c r="AE12">
        <v>0</v>
      </c>
    </row>
    <row r="13" spans="1:31" x14ac:dyDescent="0.2">
      <c r="A13">
        <v>1</v>
      </c>
      <c r="B13">
        <v>11</v>
      </c>
      <c r="C13" s="17">
        <v>4.4732899999999999E-7</v>
      </c>
      <c r="D13" s="17">
        <v>4.5010199999999999E-7</v>
      </c>
      <c r="E13" s="17">
        <v>4.5073200000000002E-7</v>
      </c>
      <c r="F13" s="17">
        <v>2.9097900000000001E-8</v>
      </c>
      <c r="G13">
        <v>86.7667</v>
      </c>
      <c r="H13">
        <v>75.093400000000003</v>
      </c>
      <c r="I13">
        <v>82.725399999999993</v>
      </c>
      <c r="J13">
        <v>7.8289600000000004</v>
      </c>
      <c r="K13">
        <v>31733.1</v>
      </c>
      <c r="L13">
        <v>38460.199999999997</v>
      </c>
      <c r="M13">
        <v>22451.5</v>
      </c>
      <c r="N13">
        <v>16291.6</v>
      </c>
      <c r="O13">
        <v>8.5421499999999995</v>
      </c>
      <c r="P13">
        <v>4.7003899999999996</v>
      </c>
      <c r="Q13">
        <v>7.6631999999999998</v>
      </c>
      <c r="R13">
        <v>2.7145299999999999</v>
      </c>
      <c r="S13">
        <v>1.59182</v>
      </c>
      <c r="T13">
        <v>1.90995</v>
      </c>
      <c r="U13">
        <v>1.27111</v>
      </c>
      <c r="V13">
        <v>0.57989999999999997</v>
      </c>
      <c r="W13">
        <v>1.26105</v>
      </c>
      <c r="X13">
        <v>0.90332199999999996</v>
      </c>
      <c r="Y13">
        <v>1.1935100000000001</v>
      </c>
      <c r="Z13">
        <v>0.28934500000000002</v>
      </c>
      <c r="AA13">
        <v>0</v>
      </c>
      <c r="AB13">
        <v>0</v>
      </c>
      <c r="AC13">
        <v>1</v>
      </c>
      <c r="AD13">
        <v>0</v>
      </c>
      <c r="AE13">
        <v>0</v>
      </c>
    </row>
    <row r="14" spans="1:31" x14ac:dyDescent="0.2">
      <c r="A14">
        <v>1</v>
      </c>
      <c r="B14">
        <v>12</v>
      </c>
      <c r="C14" s="17">
        <v>4.5409200000000001E-7</v>
      </c>
      <c r="D14" s="17">
        <v>4.5166499999999999E-7</v>
      </c>
      <c r="E14" s="17">
        <v>4.4785300000000001E-7</v>
      </c>
      <c r="F14" s="17">
        <v>3.5187399999999998E-8</v>
      </c>
      <c r="G14">
        <v>75.555499999999995</v>
      </c>
      <c r="H14">
        <v>75.326999999999998</v>
      </c>
      <c r="I14">
        <v>76.295299999999997</v>
      </c>
      <c r="J14">
        <v>7.4101400000000002</v>
      </c>
      <c r="K14">
        <v>322210</v>
      </c>
      <c r="L14">
        <v>280839</v>
      </c>
      <c r="M14">
        <v>187879</v>
      </c>
      <c r="N14">
        <v>198809</v>
      </c>
      <c r="O14">
        <v>56.1111</v>
      </c>
      <c r="P14">
        <v>45.257599999999996</v>
      </c>
      <c r="Q14">
        <v>21.968900000000001</v>
      </c>
      <c r="R14">
        <v>72.371600000000001</v>
      </c>
      <c r="S14">
        <v>0.93730899999999995</v>
      </c>
      <c r="T14">
        <v>1.0270300000000001</v>
      </c>
      <c r="U14">
        <v>0.85824199999999995</v>
      </c>
      <c r="V14">
        <v>0.603827</v>
      </c>
      <c r="W14">
        <v>0.39756999999999998</v>
      </c>
      <c r="X14">
        <v>0.40623500000000001</v>
      </c>
      <c r="Y14">
        <v>0.40154699999999999</v>
      </c>
      <c r="Z14">
        <v>0.20574600000000001</v>
      </c>
      <c r="AA14">
        <v>0</v>
      </c>
      <c r="AB14">
        <v>0</v>
      </c>
      <c r="AC14">
        <v>1</v>
      </c>
      <c r="AD14">
        <v>0</v>
      </c>
      <c r="AE14">
        <v>0</v>
      </c>
    </row>
    <row r="15" spans="1:31" x14ac:dyDescent="0.2">
      <c r="A15">
        <v>1</v>
      </c>
      <c r="B15">
        <v>13</v>
      </c>
      <c r="C15" s="17">
        <v>4.6136699999999998E-7</v>
      </c>
      <c r="D15" s="17">
        <v>4.5296800000000001E-7</v>
      </c>
      <c r="E15" s="17">
        <v>4.5464299999999998E-7</v>
      </c>
      <c r="F15" s="17">
        <v>2.75452E-8</v>
      </c>
      <c r="G15">
        <v>117.245</v>
      </c>
      <c r="H15">
        <v>122.11499999999999</v>
      </c>
      <c r="I15">
        <v>121.35</v>
      </c>
      <c r="J15">
        <v>14.545500000000001</v>
      </c>
      <c r="K15">
        <v>441548</v>
      </c>
      <c r="L15">
        <v>679802</v>
      </c>
      <c r="M15">
        <v>395500</v>
      </c>
      <c r="N15">
        <v>527810</v>
      </c>
      <c r="O15">
        <v>202.005</v>
      </c>
      <c r="P15">
        <v>343.58100000000002</v>
      </c>
      <c r="Q15">
        <v>181.221</v>
      </c>
      <c r="R15">
        <v>247.44399999999999</v>
      </c>
      <c r="S15">
        <v>0.81540900000000005</v>
      </c>
      <c r="T15">
        <v>0.76395599999999997</v>
      </c>
      <c r="U15">
        <v>0.69966600000000001</v>
      </c>
      <c r="V15">
        <v>0.33816299999999999</v>
      </c>
      <c r="W15">
        <v>1.24804</v>
      </c>
      <c r="X15">
        <v>1.3492900000000001</v>
      </c>
      <c r="Y15">
        <v>1.3955200000000001</v>
      </c>
      <c r="Z15">
        <v>0.40358899999999998</v>
      </c>
      <c r="AA15">
        <v>1</v>
      </c>
      <c r="AB15">
        <v>0</v>
      </c>
      <c r="AC15">
        <v>1</v>
      </c>
      <c r="AD15">
        <v>1</v>
      </c>
      <c r="AE15">
        <v>0</v>
      </c>
    </row>
    <row r="16" spans="1:31" x14ac:dyDescent="0.2">
      <c r="A16">
        <v>1</v>
      </c>
      <c r="B16">
        <v>14</v>
      </c>
      <c r="C16" s="17">
        <v>4.3756200000000001E-7</v>
      </c>
      <c r="D16" s="17">
        <v>4.3234200000000002E-7</v>
      </c>
      <c r="E16" s="17">
        <v>4.4080199999999998E-7</v>
      </c>
      <c r="F16" s="17">
        <v>2.4744400000000002E-8</v>
      </c>
      <c r="G16">
        <v>111.827</v>
      </c>
      <c r="H16">
        <v>110.277</v>
      </c>
      <c r="I16">
        <v>113.37</v>
      </c>
      <c r="J16">
        <v>10.814299999999999</v>
      </c>
      <c r="K16">
        <v>77161.3</v>
      </c>
      <c r="L16">
        <v>85319.7</v>
      </c>
      <c r="M16">
        <v>65687.5</v>
      </c>
      <c r="N16">
        <v>59463.1</v>
      </c>
      <c r="O16">
        <v>14.1547</v>
      </c>
      <c r="P16">
        <v>10.740500000000001</v>
      </c>
      <c r="Q16">
        <v>9.1200899999999994</v>
      </c>
      <c r="R16">
        <v>8.8687000000000005</v>
      </c>
      <c r="S16">
        <v>1.01627</v>
      </c>
      <c r="T16">
        <v>1.15764</v>
      </c>
      <c r="U16">
        <v>0.98548100000000005</v>
      </c>
      <c r="V16">
        <v>0.48881999999999998</v>
      </c>
      <c r="W16">
        <v>1.1843600000000001</v>
      </c>
      <c r="X16">
        <v>1.1425399999999999</v>
      </c>
      <c r="Y16">
        <v>1.3443400000000001</v>
      </c>
      <c r="Z16">
        <v>0.31243700000000002</v>
      </c>
      <c r="AA16">
        <v>1</v>
      </c>
      <c r="AB16">
        <v>0</v>
      </c>
      <c r="AC16">
        <v>1</v>
      </c>
      <c r="AD16">
        <v>1</v>
      </c>
      <c r="AE16">
        <v>0</v>
      </c>
    </row>
    <row r="17" spans="1:31" x14ac:dyDescent="0.2">
      <c r="A17">
        <v>1</v>
      </c>
      <c r="B17">
        <v>15</v>
      </c>
      <c r="C17" s="17">
        <v>4.3125800000000001E-7</v>
      </c>
      <c r="D17" s="17">
        <v>4.34305E-7</v>
      </c>
      <c r="E17" s="17">
        <v>4.3438600000000001E-7</v>
      </c>
      <c r="F17" s="17">
        <v>3.3185000000000002E-8</v>
      </c>
      <c r="G17">
        <v>99.039400000000001</v>
      </c>
      <c r="H17">
        <v>103.11</v>
      </c>
      <c r="I17">
        <v>100.208</v>
      </c>
      <c r="J17">
        <v>18.223700000000001</v>
      </c>
      <c r="K17">
        <v>352013</v>
      </c>
      <c r="L17">
        <v>426777</v>
      </c>
      <c r="M17">
        <v>169566</v>
      </c>
      <c r="N17">
        <v>1128290</v>
      </c>
      <c r="O17">
        <v>88.245999999999995</v>
      </c>
      <c r="P17">
        <v>98.622900000000001</v>
      </c>
      <c r="Q17">
        <v>32.895699999999998</v>
      </c>
      <c r="R17">
        <v>222.24199999999999</v>
      </c>
      <c r="S17">
        <v>1.05393</v>
      </c>
      <c r="T17">
        <v>1.0868599999999999</v>
      </c>
      <c r="U17">
        <v>0.863487</v>
      </c>
      <c r="V17">
        <v>0.77581800000000001</v>
      </c>
      <c r="W17">
        <v>48.8078</v>
      </c>
      <c r="X17">
        <v>48.75</v>
      </c>
      <c r="Y17">
        <v>36.245199999999997</v>
      </c>
      <c r="Z17">
        <v>15.745100000000001</v>
      </c>
      <c r="AA17">
        <v>1</v>
      </c>
      <c r="AB17">
        <v>0</v>
      </c>
      <c r="AC17">
        <v>1</v>
      </c>
      <c r="AD17">
        <v>1</v>
      </c>
      <c r="AE17">
        <v>0</v>
      </c>
    </row>
    <row r="18" spans="1:31" x14ac:dyDescent="0.2">
      <c r="A18">
        <v>1</v>
      </c>
      <c r="B18">
        <v>16</v>
      </c>
      <c r="C18" s="17">
        <v>4.58886E-7</v>
      </c>
      <c r="D18" s="17">
        <v>4.4001100000000001E-7</v>
      </c>
      <c r="E18" s="17">
        <v>4.48871E-7</v>
      </c>
      <c r="F18" s="17">
        <v>2.9373800000000001E-8</v>
      </c>
      <c r="G18">
        <v>121.136</v>
      </c>
      <c r="H18">
        <v>124.4</v>
      </c>
      <c r="I18">
        <v>115.58</v>
      </c>
      <c r="J18">
        <v>14.9124</v>
      </c>
      <c r="K18">
        <v>1085550</v>
      </c>
      <c r="L18">
        <v>2425700</v>
      </c>
      <c r="M18">
        <v>970229</v>
      </c>
      <c r="N18">
        <v>3461370</v>
      </c>
      <c r="O18">
        <v>15.142899999999999</v>
      </c>
      <c r="P18">
        <v>26.0015</v>
      </c>
      <c r="Q18">
        <v>11.495200000000001</v>
      </c>
      <c r="R18">
        <v>40.552700000000002</v>
      </c>
      <c r="S18">
        <v>0.50467399999999996</v>
      </c>
      <c r="T18">
        <v>0.65735699999999997</v>
      </c>
      <c r="U18">
        <v>0.50912599999999997</v>
      </c>
      <c r="V18">
        <v>0.49360500000000002</v>
      </c>
      <c r="W18">
        <v>3.4893299999999998</v>
      </c>
      <c r="X18">
        <v>3.4202499999999998</v>
      </c>
      <c r="Y18">
        <v>3.1676299999999999</v>
      </c>
      <c r="Z18">
        <v>0.60160599999999997</v>
      </c>
      <c r="AA18">
        <v>1</v>
      </c>
      <c r="AB18">
        <v>0</v>
      </c>
      <c r="AC18">
        <v>1</v>
      </c>
      <c r="AD18">
        <v>1</v>
      </c>
      <c r="AE18">
        <v>0</v>
      </c>
    </row>
    <row r="19" spans="1:31" x14ac:dyDescent="0.2">
      <c r="A19">
        <v>1</v>
      </c>
      <c r="B19">
        <v>17</v>
      </c>
      <c r="C19" s="17">
        <v>4.3756600000000002E-7</v>
      </c>
      <c r="D19" s="17">
        <v>4.2846000000000001E-7</v>
      </c>
      <c r="E19" s="17">
        <v>4.3646399999999998E-7</v>
      </c>
      <c r="F19" s="17">
        <v>2.5964599999999999E-8</v>
      </c>
      <c r="G19">
        <v>103.117</v>
      </c>
      <c r="H19">
        <v>98.314300000000003</v>
      </c>
      <c r="I19">
        <v>103.075</v>
      </c>
      <c r="J19">
        <v>8.4695099999999996</v>
      </c>
      <c r="K19">
        <v>41196</v>
      </c>
      <c r="L19">
        <v>44667.9</v>
      </c>
      <c r="M19">
        <v>26461.3</v>
      </c>
      <c r="N19">
        <v>19112.099999999999</v>
      </c>
      <c r="O19">
        <v>16.8184</v>
      </c>
      <c r="P19">
        <v>10.469200000000001</v>
      </c>
      <c r="Q19">
        <v>12.801399999999999</v>
      </c>
      <c r="R19">
        <v>7.1795</v>
      </c>
      <c r="S19">
        <v>1.76728</v>
      </c>
      <c r="T19">
        <v>1.97976</v>
      </c>
      <c r="U19">
        <v>1.35168</v>
      </c>
      <c r="V19">
        <v>0.68145500000000003</v>
      </c>
      <c r="W19">
        <v>1.21546</v>
      </c>
      <c r="X19">
        <v>1.0882700000000001</v>
      </c>
      <c r="Y19">
        <v>1.29281</v>
      </c>
      <c r="Z19">
        <v>0.24443300000000001</v>
      </c>
      <c r="AA19">
        <v>1</v>
      </c>
      <c r="AB19">
        <v>0</v>
      </c>
      <c r="AC19">
        <v>1</v>
      </c>
      <c r="AD19">
        <v>1</v>
      </c>
      <c r="AE19">
        <v>0</v>
      </c>
    </row>
    <row r="20" spans="1:31" x14ac:dyDescent="0.2">
      <c r="A20">
        <v>1</v>
      </c>
      <c r="B20">
        <v>18</v>
      </c>
      <c r="C20" s="17">
        <v>4.3419800000000001E-7</v>
      </c>
      <c r="D20" s="17">
        <v>4.4284699999999999E-7</v>
      </c>
      <c r="E20" s="17">
        <v>4.3469900000000002E-7</v>
      </c>
      <c r="F20" s="17">
        <v>3.16606E-8</v>
      </c>
      <c r="G20">
        <v>111.809</v>
      </c>
      <c r="H20">
        <v>110.48</v>
      </c>
      <c r="I20">
        <v>109.40900000000001</v>
      </c>
      <c r="J20">
        <v>14.2598</v>
      </c>
      <c r="K20">
        <v>142050</v>
      </c>
      <c r="L20">
        <v>149103</v>
      </c>
      <c r="M20">
        <v>103735</v>
      </c>
      <c r="N20">
        <v>91766</v>
      </c>
      <c r="O20">
        <v>37.270699999999998</v>
      </c>
      <c r="P20">
        <v>37.9039</v>
      </c>
      <c r="Q20">
        <v>26.226600000000001</v>
      </c>
      <c r="R20">
        <v>37.471800000000002</v>
      </c>
      <c r="S20">
        <v>0.81691599999999998</v>
      </c>
      <c r="T20">
        <v>0.88675099999999996</v>
      </c>
      <c r="U20">
        <v>0.71086899999999997</v>
      </c>
      <c r="V20">
        <v>0.47527599999999998</v>
      </c>
      <c r="W20">
        <v>1.1392899999999999</v>
      </c>
      <c r="X20">
        <v>1.15384</v>
      </c>
      <c r="Y20">
        <v>1.13123</v>
      </c>
      <c r="Z20">
        <v>0.45150800000000002</v>
      </c>
      <c r="AA20">
        <v>1</v>
      </c>
      <c r="AB20">
        <v>0</v>
      </c>
      <c r="AC20">
        <v>1</v>
      </c>
      <c r="AD20">
        <v>1</v>
      </c>
      <c r="AE20">
        <v>0</v>
      </c>
    </row>
    <row r="21" spans="1:31" x14ac:dyDescent="0.2">
      <c r="A21">
        <v>1</v>
      </c>
      <c r="B21">
        <v>19</v>
      </c>
      <c r="C21" s="17">
        <v>4.3718699999999998E-7</v>
      </c>
      <c r="D21" s="17">
        <v>4.3659200000000002E-7</v>
      </c>
      <c r="E21" s="17">
        <v>4.3469700000000002E-7</v>
      </c>
      <c r="F21" s="17">
        <v>3.2873800000000003E-8</v>
      </c>
      <c r="G21">
        <v>102.18</v>
      </c>
      <c r="H21">
        <v>105.432</v>
      </c>
      <c r="I21">
        <v>100.60599999999999</v>
      </c>
      <c r="J21">
        <v>17.151599999999998</v>
      </c>
      <c r="K21">
        <v>391304</v>
      </c>
      <c r="L21">
        <v>704082</v>
      </c>
      <c r="M21">
        <v>191535</v>
      </c>
      <c r="N21">
        <v>2543730</v>
      </c>
      <c r="O21">
        <v>95.834500000000006</v>
      </c>
      <c r="P21">
        <v>196.00399999999999</v>
      </c>
      <c r="Q21">
        <v>31.569700000000001</v>
      </c>
      <c r="R21">
        <v>1192.96</v>
      </c>
      <c r="S21">
        <v>0.96173399999999998</v>
      </c>
      <c r="T21">
        <v>1.1390899999999999</v>
      </c>
      <c r="U21">
        <v>0.96829600000000005</v>
      </c>
      <c r="V21">
        <v>0.68909200000000004</v>
      </c>
      <c r="W21">
        <v>41.735700000000001</v>
      </c>
      <c r="X21">
        <v>42.853999999999999</v>
      </c>
      <c r="Y21">
        <v>29.169499999999999</v>
      </c>
      <c r="Z21">
        <v>17.106000000000002</v>
      </c>
      <c r="AA21">
        <v>1</v>
      </c>
      <c r="AB21">
        <v>0</v>
      </c>
      <c r="AC21">
        <v>1</v>
      </c>
      <c r="AD21">
        <v>1</v>
      </c>
      <c r="AE21">
        <v>0</v>
      </c>
    </row>
    <row r="22" spans="1:31" x14ac:dyDescent="0.2">
      <c r="A22">
        <v>1</v>
      </c>
      <c r="B22">
        <v>20</v>
      </c>
      <c r="C22" s="17">
        <v>4.3978599999999999E-7</v>
      </c>
      <c r="D22" s="17">
        <v>4.4748500000000001E-7</v>
      </c>
      <c r="E22" s="17">
        <v>4.3924899999999999E-7</v>
      </c>
      <c r="F22" s="17">
        <v>3.48684E-8</v>
      </c>
      <c r="G22">
        <v>102.52800000000001</v>
      </c>
      <c r="H22">
        <v>102.113</v>
      </c>
      <c r="I22">
        <v>107.199</v>
      </c>
      <c r="J22">
        <v>12.565300000000001</v>
      </c>
      <c r="K22">
        <v>192743</v>
      </c>
      <c r="L22">
        <v>208130</v>
      </c>
      <c r="M22">
        <v>118705</v>
      </c>
      <c r="N22">
        <v>167021</v>
      </c>
      <c r="O22">
        <v>143.93600000000001</v>
      </c>
      <c r="P22">
        <v>175.672</v>
      </c>
      <c r="Q22">
        <v>84.353899999999996</v>
      </c>
      <c r="R22">
        <v>214.74199999999999</v>
      </c>
      <c r="S22">
        <v>1.1689099999999999</v>
      </c>
      <c r="T22">
        <v>1.25726</v>
      </c>
      <c r="U22">
        <v>1.08128</v>
      </c>
      <c r="V22">
        <v>0.66779500000000003</v>
      </c>
      <c r="W22">
        <v>1.7373000000000001</v>
      </c>
      <c r="X22">
        <v>1.78399</v>
      </c>
      <c r="Y22">
        <v>1.89706</v>
      </c>
      <c r="Z22">
        <v>0.34315499999999999</v>
      </c>
      <c r="AA22">
        <v>1</v>
      </c>
      <c r="AB22">
        <v>0</v>
      </c>
      <c r="AC22">
        <v>1</v>
      </c>
      <c r="AD22">
        <v>1</v>
      </c>
      <c r="AE22">
        <v>0</v>
      </c>
    </row>
    <row r="23" spans="1:31" x14ac:dyDescent="0.2">
      <c r="A23">
        <v>1</v>
      </c>
      <c r="B23">
        <v>21</v>
      </c>
      <c r="C23" s="17">
        <v>4.3048500000000001E-7</v>
      </c>
      <c r="D23" s="17">
        <v>4.2283399999999999E-7</v>
      </c>
      <c r="E23" s="17">
        <v>4.2988300000000001E-7</v>
      </c>
      <c r="F23" s="17">
        <v>2.4732299999999999E-8</v>
      </c>
      <c r="G23">
        <v>101.682</v>
      </c>
      <c r="H23">
        <v>100.325</v>
      </c>
      <c r="I23">
        <v>103.43899999999999</v>
      </c>
      <c r="J23">
        <v>10.6106</v>
      </c>
      <c r="K23">
        <v>308217</v>
      </c>
      <c r="L23">
        <v>332171</v>
      </c>
      <c r="M23">
        <v>168529</v>
      </c>
      <c r="N23">
        <v>299432</v>
      </c>
      <c r="O23">
        <v>10.556900000000001</v>
      </c>
      <c r="P23">
        <v>10.619899999999999</v>
      </c>
      <c r="Q23">
        <v>9.5749700000000004</v>
      </c>
      <c r="R23">
        <v>11.3942</v>
      </c>
      <c r="S23">
        <v>0.94098099999999996</v>
      </c>
      <c r="T23">
        <v>0.97337099999999999</v>
      </c>
      <c r="U23">
        <v>0.67366800000000004</v>
      </c>
      <c r="V23">
        <v>0.52357900000000002</v>
      </c>
      <c r="W23">
        <v>1.20319</v>
      </c>
      <c r="X23">
        <v>1.1165700000000001</v>
      </c>
      <c r="Y23">
        <v>1.3083</v>
      </c>
      <c r="Z23">
        <v>0.33457700000000001</v>
      </c>
      <c r="AA23">
        <v>1</v>
      </c>
      <c r="AB23">
        <v>0</v>
      </c>
      <c r="AC23">
        <v>1</v>
      </c>
      <c r="AD23">
        <v>1</v>
      </c>
      <c r="AE23">
        <v>0</v>
      </c>
    </row>
    <row r="24" spans="1:31" x14ac:dyDescent="0.2">
      <c r="A24">
        <v>2</v>
      </c>
      <c r="B24">
        <v>5900</v>
      </c>
      <c r="C24" s="17">
        <v>4.2448800000000001E-7</v>
      </c>
      <c r="D24" s="17">
        <v>4.2832000000000001E-7</v>
      </c>
      <c r="E24" s="17">
        <v>4.2735599999999998E-7</v>
      </c>
      <c r="F24" s="17">
        <v>3.0942699999999998E-8</v>
      </c>
      <c r="G24">
        <v>57.900599999999997</v>
      </c>
      <c r="H24">
        <v>61.470500000000001</v>
      </c>
      <c r="I24">
        <v>61.950600000000001</v>
      </c>
      <c r="J24">
        <v>10.107699999999999</v>
      </c>
      <c r="K24">
        <v>3142960</v>
      </c>
      <c r="L24">
        <v>2386410</v>
      </c>
      <c r="M24">
        <v>1477630</v>
      </c>
      <c r="N24">
        <v>2987540</v>
      </c>
      <c r="O24">
        <v>337.38499999999999</v>
      </c>
      <c r="P24">
        <v>329.565</v>
      </c>
      <c r="Q24">
        <v>249.66900000000001</v>
      </c>
      <c r="R24">
        <v>342.83</v>
      </c>
      <c r="S24">
        <v>1.1692400000000001</v>
      </c>
      <c r="T24">
        <v>1.00427</v>
      </c>
      <c r="U24">
        <v>0.87865099999999996</v>
      </c>
      <c r="V24">
        <v>0.615618</v>
      </c>
      <c r="W24">
        <v>0.45997399999999999</v>
      </c>
      <c r="X24">
        <v>0.62526700000000002</v>
      </c>
      <c r="Y24">
        <v>0.68652500000000005</v>
      </c>
      <c r="Z24">
        <v>0.381438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">
      <c r="A25">
        <v>2</v>
      </c>
      <c r="B25">
        <v>5901</v>
      </c>
      <c r="C25" s="17">
        <v>4.5387599999999998E-7</v>
      </c>
      <c r="D25" s="17">
        <v>4.5443999999999998E-7</v>
      </c>
      <c r="E25" s="17">
        <v>4.5021200000000001E-7</v>
      </c>
      <c r="F25" s="17">
        <v>3.19783E-8</v>
      </c>
      <c r="G25">
        <v>88.684899999999999</v>
      </c>
      <c r="H25">
        <v>89.695099999999996</v>
      </c>
      <c r="I25">
        <v>88.260400000000004</v>
      </c>
      <c r="J25">
        <v>9.8432200000000005</v>
      </c>
      <c r="K25">
        <v>6678740</v>
      </c>
      <c r="L25">
        <v>7682550</v>
      </c>
      <c r="M25">
        <v>2813890</v>
      </c>
      <c r="N25">
        <v>10702300</v>
      </c>
      <c r="O25">
        <v>31.6432</v>
      </c>
      <c r="P25">
        <v>41.152999999999999</v>
      </c>
      <c r="Q25">
        <v>12.7456</v>
      </c>
      <c r="R25">
        <v>74.938400000000001</v>
      </c>
      <c r="S25">
        <v>0.72431400000000001</v>
      </c>
      <c r="T25">
        <v>0.77703199999999994</v>
      </c>
      <c r="U25">
        <v>0.733213</v>
      </c>
      <c r="V25">
        <v>0.46889599999999998</v>
      </c>
      <c r="W25">
        <v>0.25490800000000002</v>
      </c>
      <c r="X25">
        <v>0.27174100000000001</v>
      </c>
      <c r="Y25">
        <v>0.195079</v>
      </c>
      <c r="Z25">
        <v>0.21203900000000001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>
        <v>2</v>
      </c>
      <c r="B26">
        <v>5902</v>
      </c>
      <c r="C26" s="17">
        <v>4.3714099999999998E-7</v>
      </c>
      <c r="D26" s="17">
        <v>4.3808999999999997E-7</v>
      </c>
      <c r="E26" s="17">
        <v>4.3410099999999998E-7</v>
      </c>
      <c r="F26" s="17">
        <v>2.89952E-8</v>
      </c>
      <c r="G26">
        <v>69.347099999999998</v>
      </c>
      <c r="H26">
        <v>66.430800000000005</v>
      </c>
      <c r="I26">
        <v>67.954899999999995</v>
      </c>
      <c r="J26">
        <v>7.0351999999999997</v>
      </c>
      <c r="K26">
        <v>724210</v>
      </c>
      <c r="L26">
        <v>1034730</v>
      </c>
      <c r="M26">
        <v>577434</v>
      </c>
      <c r="N26">
        <v>946370</v>
      </c>
      <c r="O26">
        <v>46.7194</v>
      </c>
      <c r="P26">
        <v>72.5745</v>
      </c>
      <c r="Q26">
        <v>31.127700000000001</v>
      </c>
      <c r="R26">
        <v>140.279</v>
      </c>
      <c r="S26">
        <v>1.1906399999999999</v>
      </c>
      <c r="T26">
        <v>1.2303200000000001</v>
      </c>
      <c r="U26">
        <v>1.0753600000000001</v>
      </c>
      <c r="V26">
        <v>0.82189999999999996</v>
      </c>
      <c r="W26">
        <v>0.29423500000000002</v>
      </c>
      <c r="X26">
        <v>0.24162</v>
      </c>
      <c r="Y26">
        <v>0.23528099999999999</v>
      </c>
      <c r="Z26">
        <v>0.194437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>
        <v>2</v>
      </c>
      <c r="B27">
        <v>5903</v>
      </c>
      <c r="C27" s="17">
        <v>4.38626E-7</v>
      </c>
      <c r="D27" s="17">
        <v>4.3714699999999999E-7</v>
      </c>
      <c r="E27" s="17">
        <v>4.3947800000000001E-7</v>
      </c>
      <c r="F27" s="17">
        <v>3.2329300000000001E-8</v>
      </c>
      <c r="G27">
        <v>74.022199999999998</v>
      </c>
      <c r="H27">
        <v>73.767600000000002</v>
      </c>
      <c r="I27">
        <v>74.068399999999997</v>
      </c>
      <c r="J27">
        <v>7.8183100000000003</v>
      </c>
      <c r="K27">
        <v>2376020</v>
      </c>
      <c r="L27">
        <v>2773030</v>
      </c>
      <c r="M27">
        <v>1131530</v>
      </c>
      <c r="N27">
        <v>5983120</v>
      </c>
      <c r="O27">
        <v>96.548900000000003</v>
      </c>
      <c r="P27">
        <v>82.290700000000001</v>
      </c>
      <c r="Q27">
        <v>42.354700000000001</v>
      </c>
      <c r="R27">
        <v>116.75</v>
      </c>
      <c r="S27">
        <v>1.0870599999999999</v>
      </c>
      <c r="T27">
        <v>1.00512</v>
      </c>
      <c r="U27">
        <v>0.92417899999999997</v>
      </c>
      <c r="V27">
        <v>0.74525399999999997</v>
      </c>
      <c r="W27">
        <v>0.26538</v>
      </c>
      <c r="X27">
        <v>0.279061</v>
      </c>
      <c r="Y27">
        <v>0.26503199999999999</v>
      </c>
      <c r="Z27">
        <v>0.174146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">
      <c r="A28">
        <v>2</v>
      </c>
      <c r="B28">
        <v>5904</v>
      </c>
      <c r="C28" s="17">
        <v>4.3830499999999998E-7</v>
      </c>
      <c r="D28" s="17">
        <v>4.3557199999999998E-7</v>
      </c>
      <c r="E28" s="17">
        <v>4.3860900000000001E-7</v>
      </c>
      <c r="F28" s="17">
        <v>3.1893799999999997E-8</v>
      </c>
      <c r="G28">
        <v>69.044600000000003</v>
      </c>
      <c r="H28">
        <v>68.503100000000003</v>
      </c>
      <c r="I28">
        <v>69.591899999999995</v>
      </c>
      <c r="J28">
        <v>7.4283599999999996</v>
      </c>
      <c r="K28">
        <v>2646970</v>
      </c>
      <c r="L28">
        <v>3758540</v>
      </c>
      <c r="M28">
        <v>1287110</v>
      </c>
      <c r="N28">
        <v>4618420</v>
      </c>
      <c r="O28">
        <v>56.524799999999999</v>
      </c>
      <c r="P28">
        <v>74.444599999999994</v>
      </c>
      <c r="Q28">
        <v>29.283100000000001</v>
      </c>
      <c r="R28">
        <v>88.035899999999998</v>
      </c>
      <c r="S28">
        <v>1.0059100000000001</v>
      </c>
      <c r="T28">
        <v>0.96674300000000002</v>
      </c>
      <c r="U28">
        <v>0.88533300000000004</v>
      </c>
      <c r="V28">
        <v>0.53980099999999998</v>
      </c>
      <c r="W28">
        <v>0.58070999999999995</v>
      </c>
      <c r="X28">
        <v>0.53056999999999999</v>
      </c>
      <c r="Y28">
        <v>0.65491699999999997</v>
      </c>
      <c r="Z28">
        <v>0.31882899999999997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">
      <c r="A29">
        <v>2</v>
      </c>
      <c r="B29">
        <v>5905</v>
      </c>
      <c r="C29" s="17">
        <v>4.2634899999999998E-7</v>
      </c>
      <c r="D29" s="17">
        <v>4.2431400000000002E-7</v>
      </c>
      <c r="E29" s="17">
        <v>4.2701699999999999E-7</v>
      </c>
      <c r="F29" s="17">
        <v>3.3956100000000002E-8</v>
      </c>
      <c r="G29">
        <v>58.497599999999998</v>
      </c>
      <c r="H29">
        <v>60.111600000000003</v>
      </c>
      <c r="I29">
        <v>60.6554</v>
      </c>
      <c r="J29">
        <v>6.1809900000000004</v>
      </c>
      <c r="K29">
        <v>4138730</v>
      </c>
      <c r="L29">
        <v>4660070</v>
      </c>
      <c r="M29">
        <v>1978400</v>
      </c>
      <c r="N29">
        <v>7092280</v>
      </c>
      <c r="O29">
        <v>63.336399999999998</v>
      </c>
      <c r="P29">
        <v>55.758800000000001</v>
      </c>
      <c r="Q29">
        <v>37.116300000000003</v>
      </c>
      <c r="R29">
        <v>77.603300000000004</v>
      </c>
      <c r="S29">
        <v>0.86371299999999995</v>
      </c>
      <c r="T29">
        <v>0.76910299999999998</v>
      </c>
      <c r="U29">
        <v>0.80818800000000002</v>
      </c>
      <c r="V29">
        <v>0.44926199999999999</v>
      </c>
      <c r="W29">
        <v>0.40365000000000001</v>
      </c>
      <c r="X29">
        <v>0.44774599999999998</v>
      </c>
      <c r="Y29">
        <v>0.519096</v>
      </c>
      <c r="Z29">
        <v>0.26144400000000001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">
      <c r="A30">
        <v>2</v>
      </c>
      <c r="B30">
        <v>5906</v>
      </c>
      <c r="C30" s="17">
        <v>4.3809799999999998E-7</v>
      </c>
      <c r="D30" s="17">
        <v>4.4264299999999998E-7</v>
      </c>
      <c r="E30" s="17">
        <v>4.3716700000000001E-7</v>
      </c>
      <c r="F30" s="17">
        <v>3.27012E-8</v>
      </c>
      <c r="G30">
        <v>68.633099999999999</v>
      </c>
      <c r="H30">
        <v>70.506900000000002</v>
      </c>
      <c r="I30">
        <v>69.746799999999993</v>
      </c>
      <c r="J30">
        <v>8.1285399999999992</v>
      </c>
      <c r="K30">
        <v>1458690</v>
      </c>
      <c r="L30">
        <v>1629330</v>
      </c>
      <c r="M30">
        <v>922012</v>
      </c>
      <c r="N30">
        <v>2075850</v>
      </c>
      <c r="O30">
        <v>315.36500000000001</v>
      </c>
      <c r="P30">
        <v>325.77600000000001</v>
      </c>
      <c r="Q30">
        <v>228.916</v>
      </c>
      <c r="R30">
        <v>286.22800000000001</v>
      </c>
      <c r="S30">
        <v>1.03071</v>
      </c>
      <c r="T30">
        <v>1.24366</v>
      </c>
      <c r="U30">
        <v>0.98491700000000004</v>
      </c>
      <c r="V30">
        <v>0.61416300000000001</v>
      </c>
      <c r="W30">
        <v>0.34181899999999998</v>
      </c>
      <c r="X30">
        <v>0.40309600000000001</v>
      </c>
      <c r="Y30">
        <v>0.359184</v>
      </c>
      <c r="Z30">
        <v>0.26124000000000003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">
      <c r="A31">
        <v>2</v>
      </c>
      <c r="B31">
        <v>5907</v>
      </c>
      <c r="C31" s="17">
        <v>4.3915299999999999E-7</v>
      </c>
      <c r="D31" s="17">
        <v>4.3229600000000002E-7</v>
      </c>
      <c r="E31" s="17">
        <v>4.3273500000000002E-7</v>
      </c>
      <c r="F31" s="17">
        <v>3.5585200000000002E-8</v>
      </c>
      <c r="G31">
        <v>63.277099999999997</v>
      </c>
      <c r="H31">
        <v>63.698900000000002</v>
      </c>
      <c r="I31">
        <v>65.452399999999997</v>
      </c>
      <c r="J31">
        <v>8.17943</v>
      </c>
      <c r="K31">
        <v>1404240</v>
      </c>
      <c r="L31">
        <v>1989600</v>
      </c>
      <c r="M31">
        <v>869058</v>
      </c>
      <c r="N31">
        <v>2761570</v>
      </c>
      <c r="O31">
        <v>148.56299999999999</v>
      </c>
      <c r="P31">
        <v>154.84700000000001</v>
      </c>
      <c r="Q31">
        <v>64.692300000000003</v>
      </c>
      <c r="R31">
        <v>232.16</v>
      </c>
      <c r="S31">
        <v>1.06521</v>
      </c>
      <c r="T31">
        <v>1.1637999999999999</v>
      </c>
      <c r="U31">
        <v>0.98536599999999996</v>
      </c>
      <c r="V31">
        <v>0.67695700000000003</v>
      </c>
      <c r="W31">
        <v>0.57855599999999996</v>
      </c>
      <c r="X31">
        <v>0.55591900000000005</v>
      </c>
      <c r="Y31">
        <v>0.68638100000000002</v>
      </c>
      <c r="Z31">
        <v>0.34653400000000001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2">
      <c r="A32">
        <v>2</v>
      </c>
      <c r="B32">
        <v>5908</v>
      </c>
      <c r="C32" s="17">
        <v>4.2985899999999998E-7</v>
      </c>
      <c r="D32" s="17">
        <v>4.37673E-7</v>
      </c>
      <c r="E32" s="17">
        <v>4.3831499999999999E-7</v>
      </c>
      <c r="F32" s="17">
        <v>3.0108099999999999E-8</v>
      </c>
      <c r="G32">
        <v>68.911299999999997</v>
      </c>
      <c r="H32">
        <v>65.605699999999999</v>
      </c>
      <c r="I32">
        <v>69.2333</v>
      </c>
      <c r="J32">
        <v>6.9159199999999998</v>
      </c>
      <c r="K32">
        <v>3053400</v>
      </c>
      <c r="L32">
        <v>4021950</v>
      </c>
      <c r="M32">
        <v>2054480</v>
      </c>
      <c r="N32">
        <v>5707430</v>
      </c>
      <c r="O32">
        <v>179.571</v>
      </c>
      <c r="P32">
        <v>161.749</v>
      </c>
      <c r="Q32">
        <v>148.46799999999999</v>
      </c>
      <c r="R32">
        <v>180.61600000000001</v>
      </c>
      <c r="S32">
        <v>0.95123800000000003</v>
      </c>
      <c r="T32">
        <v>1.0186500000000001</v>
      </c>
      <c r="U32">
        <v>0.81250999999999995</v>
      </c>
      <c r="V32">
        <v>0.48852000000000001</v>
      </c>
      <c r="W32">
        <v>0.28265099999999999</v>
      </c>
      <c r="X32">
        <v>0.25806499999999999</v>
      </c>
      <c r="Y32">
        <v>0.33810699999999999</v>
      </c>
      <c r="Z32">
        <v>0.17405899999999999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2">
      <c r="A33">
        <v>2</v>
      </c>
      <c r="B33">
        <v>5892</v>
      </c>
      <c r="C33" s="17">
        <v>4.1826900000000002E-7</v>
      </c>
      <c r="D33" s="17">
        <v>4.15792E-7</v>
      </c>
      <c r="E33" s="17">
        <v>4.1745599999999998E-7</v>
      </c>
      <c r="F33" s="17">
        <v>2.8476099999999998E-8</v>
      </c>
      <c r="G33">
        <v>55.834099999999999</v>
      </c>
      <c r="H33">
        <v>56.709499999999998</v>
      </c>
      <c r="I33">
        <v>57.597099999999998</v>
      </c>
      <c r="J33">
        <v>4.66092</v>
      </c>
      <c r="K33">
        <v>5140290</v>
      </c>
      <c r="L33">
        <v>7761160</v>
      </c>
      <c r="M33">
        <v>3175930</v>
      </c>
      <c r="N33">
        <v>9399530</v>
      </c>
      <c r="O33">
        <v>51.4251</v>
      </c>
      <c r="P33">
        <v>65.349999999999994</v>
      </c>
      <c r="Q33">
        <v>31.868600000000001</v>
      </c>
      <c r="R33">
        <v>142.93600000000001</v>
      </c>
      <c r="S33">
        <v>0.737236</v>
      </c>
      <c r="T33">
        <v>0.89668099999999995</v>
      </c>
      <c r="U33">
        <v>0.71145199999999997</v>
      </c>
      <c r="V33">
        <v>0.54127099999999995</v>
      </c>
      <c r="W33">
        <v>0.33791100000000002</v>
      </c>
      <c r="X33">
        <v>0.35197699999999998</v>
      </c>
      <c r="Y33">
        <v>0.40892000000000001</v>
      </c>
      <c r="Z33">
        <v>0.197382</v>
      </c>
      <c r="AA33">
        <v>1</v>
      </c>
      <c r="AB33">
        <v>0</v>
      </c>
      <c r="AC33">
        <v>0</v>
      </c>
      <c r="AD33">
        <v>0</v>
      </c>
      <c r="AE33">
        <v>0</v>
      </c>
    </row>
    <row r="34" spans="1:31" x14ac:dyDescent="0.2">
      <c r="A34">
        <v>2</v>
      </c>
      <c r="B34">
        <v>5893</v>
      </c>
      <c r="C34" s="17">
        <v>4.3079000000000001E-7</v>
      </c>
      <c r="D34" s="17">
        <v>4.3285600000000002E-7</v>
      </c>
      <c r="E34" s="17">
        <v>4.4052999999999999E-7</v>
      </c>
      <c r="F34" s="17">
        <v>3.2450100000000002E-8</v>
      </c>
      <c r="G34">
        <v>77.305999999999997</v>
      </c>
      <c r="H34">
        <v>74.066900000000004</v>
      </c>
      <c r="I34">
        <v>76.776399999999995</v>
      </c>
      <c r="J34">
        <v>6.9152899999999997</v>
      </c>
      <c r="K34">
        <v>8076310</v>
      </c>
      <c r="L34">
        <v>7024640</v>
      </c>
      <c r="M34">
        <v>3712400</v>
      </c>
      <c r="N34">
        <v>7348110</v>
      </c>
      <c r="O34">
        <v>32.058300000000003</v>
      </c>
      <c r="P34">
        <v>28.102399999999999</v>
      </c>
      <c r="Q34">
        <v>13.1251</v>
      </c>
      <c r="R34">
        <v>54.436300000000003</v>
      </c>
      <c r="S34">
        <v>0.74689899999999998</v>
      </c>
      <c r="T34">
        <v>0.65823699999999996</v>
      </c>
      <c r="U34">
        <v>0.68998599999999999</v>
      </c>
      <c r="V34">
        <v>0.43786399999999998</v>
      </c>
      <c r="W34">
        <v>0.67081299999999999</v>
      </c>
      <c r="X34">
        <v>0.56222799999999995</v>
      </c>
      <c r="Y34">
        <v>0.770262</v>
      </c>
      <c r="Z34">
        <v>0.24013899999999999</v>
      </c>
      <c r="AA34">
        <v>1</v>
      </c>
      <c r="AB34">
        <v>0</v>
      </c>
      <c r="AC34">
        <v>0</v>
      </c>
      <c r="AD34">
        <v>0</v>
      </c>
      <c r="AE34">
        <v>0</v>
      </c>
    </row>
    <row r="35" spans="1:31" x14ac:dyDescent="0.2">
      <c r="A35">
        <v>2</v>
      </c>
      <c r="B35">
        <v>5894</v>
      </c>
      <c r="C35" s="17">
        <v>4.2978500000000001E-7</v>
      </c>
      <c r="D35" s="17">
        <v>4.2614199999999998E-7</v>
      </c>
      <c r="E35" s="17">
        <v>4.2283900000000002E-7</v>
      </c>
      <c r="F35" s="17">
        <v>2.7521499999999999E-8</v>
      </c>
      <c r="G35">
        <v>61.356699999999996</v>
      </c>
      <c r="H35">
        <v>61.657899999999998</v>
      </c>
      <c r="I35">
        <v>61.651400000000002</v>
      </c>
      <c r="J35">
        <v>5.3600500000000002</v>
      </c>
      <c r="K35">
        <v>6094580</v>
      </c>
      <c r="L35">
        <v>6773620</v>
      </c>
      <c r="M35">
        <v>3151260</v>
      </c>
      <c r="N35">
        <v>8794660</v>
      </c>
      <c r="O35">
        <v>35.475499999999997</v>
      </c>
      <c r="P35">
        <v>22.845199999999998</v>
      </c>
      <c r="Q35">
        <v>16.139399999999998</v>
      </c>
      <c r="R35">
        <v>33.536999999999999</v>
      </c>
      <c r="S35">
        <v>0.75801700000000005</v>
      </c>
      <c r="T35">
        <v>0.77413500000000002</v>
      </c>
      <c r="U35">
        <v>0.71770500000000004</v>
      </c>
      <c r="V35">
        <v>0.44336199999999998</v>
      </c>
      <c r="W35">
        <v>0.28408499999999998</v>
      </c>
      <c r="X35">
        <v>0.28057399999999999</v>
      </c>
      <c r="Y35">
        <v>0.27193200000000001</v>
      </c>
      <c r="Z35">
        <v>0.156364</v>
      </c>
      <c r="AA35">
        <v>1</v>
      </c>
      <c r="AB35">
        <v>0</v>
      </c>
      <c r="AC35">
        <v>0</v>
      </c>
      <c r="AD35">
        <v>0</v>
      </c>
      <c r="AE35">
        <v>0</v>
      </c>
    </row>
    <row r="36" spans="1:31" x14ac:dyDescent="0.2">
      <c r="A36">
        <v>2</v>
      </c>
      <c r="B36">
        <v>5895</v>
      </c>
      <c r="C36" s="17">
        <v>4.3723499999999998E-7</v>
      </c>
      <c r="D36" s="17">
        <v>4.3219800000000002E-7</v>
      </c>
      <c r="E36" s="17">
        <v>4.3497999999999999E-7</v>
      </c>
      <c r="F36" s="17">
        <v>2.71127E-8</v>
      </c>
      <c r="G36">
        <v>66.482900000000001</v>
      </c>
      <c r="H36">
        <v>67.066599999999994</v>
      </c>
      <c r="I36">
        <v>67.177700000000002</v>
      </c>
      <c r="J36">
        <v>7.2107099999999997</v>
      </c>
      <c r="K36">
        <v>245712</v>
      </c>
      <c r="L36">
        <v>251531</v>
      </c>
      <c r="M36">
        <v>183139</v>
      </c>
      <c r="N36">
        <v>191841</v>
      </c>
      <c r="O36">
        <v>25.4511</v>
      </c>
      <c r="P36">
        <v>20.269500000000001</v>
      </c>
      <c r="Q36">
        <v>13.2445</v>
      </c>
      <c r="R36">
        <v>25.658100000000001</v>
      </c>
      <c r="S36">
        <v>1.7280800000000001</v>
      </c>
      <c r="T36">
        <v>1.8134300000000001</v>
      </c>
      <c r="U36">
        <v>1.57222</v>
      </c>
      <c r="V36">
        <v>1.01041</v>
      </c>
      <c r="W36">
        <v>0.35517399999999999</v>
      </c>
      <c r="X36">
        <v>0.344476</v>
      </c>
      <c r="Y36">
        <v>0.386822</v>
      </c>
      <c r="Z36">
        <v>0.19933400000000001</v>
      </c>
      <c r="AA36">
        <v>1</v>
      </c>
      <c r="AB36">
        <v>0</v>
      </c>
      <c r="AC36">
        <v>0</v>
      </c>
      <c r="AD36">
        <v>0</v>
      </c>
      <c r="AE36">
        <v>0</v>
      </c>
    </row>
    <row r="37" spans="1:31" x14ac:dyDescent="0.2">
      <c r="A37">
        <v>2</v>
      </c>
      <c r="B37">
        <v>5896</v>
      </c>
      <c r="C37" s="17">
        <v>4.2990800000000001E-7</v>
      </c>
      <c r="D37" s="17">
        <v>4.3993100000000002E-7</v>
      </c>
      <c r="E37" s="17">
        <v>4.34679E-7</v>
      </c>
      <c r="F37" s="17">
        <v>3.1140599999999999E-8</v>
      </c>
      <c r="G37">
        <v>67.516900000000007</v>
      </c>
      <c r="H37">
        <v>65.506900000000002</v>
      </c>
      <c r="I37">
        <v>68.566000000000003</v>
      </c>
      <c r="J37">
        <v>6.8668899999999997</v>
      </c>
      <c r="K37">
        <v>2707940</v>
      </c>
      <c r="L37">
        <v>2872010</v>
      </c>
      <c r="M37">
        <v>1430860</v>
      </c>
      <c r="N37">
        <v>3766770</v>
      </c>
      <c r="O37">
        <v>115.592</v>
      </c>
      <c r="P37">
        <v>157.08799999999999</v>
      </c>
      <c r="Q37">
        <v>79.4358</v>
      </c>
      <c r="R37">
        <v>265.13799999999998</v>
      </c>
      <c r="S37">
        <v>0.89463300000000001</v>
      </c>
      <c r="T37">
        <v>0.85643400000000003</v>
      </c>
      <c r="U37">
        <v>0.86269700000000005</v>
      </c>
      <c r="V37">
        <v>0.52530100000000002</v>
      </c>
      <c r="W37">
        <v>0.264235</v>
      </c>
      <c r="X37">
        <v>0.25773099999999999</v>
      </c>
      <c r="Y37">
        <v>0.30949500000000002</v>
      </c>
      <c r="Z37">
        <v>0.15750800000000001</v>
      </c>
      <c r="AA37">
        <v>1</v>
      </c>
      <c r="AB37">
        <v>0</v>
      </c>
      <c r="AC37">
        <v>0</v>
      </c>
      <c r="AD37">
        <v>0</v>
      </c>
      <c r="AE37">
        <v>0</v>
      </c>
    </row>
    <row r="38" spans="1:31" x14ac:dyDescent="0.2">
      <c r="A38">
        <v>2</v>
      </c>
      <c r="B38">
        <v>5897</v>
      </c>
      <c r="C38" s="17">
        <v>4.2790299999999999E-7</v>
      </c>
      <c r="D38" s="17">
        <v>4.2628399999999998E-7</v>
      </c>
      <c r="E38" s="17">
        <v>4.2852599999999998E-7</v>
      </c>
      <c r="F38" s="17">
        <v>2.4157700000000001E-8</v>
      </c>
      <c r="G38">
        <v>60.9223</v>
      </c>
      <c r="H38">
        <v>61.531599999999997</v>
      </c>
      <c r="I38">
        <v>63.855800000000002</v>
      </c>
      <c r="J38">
        <v>7.1328399999999998</v>
      </c>
      <c r="K38">
        <v>1687400</v>
      </c>
      <c r="L38">
        <v>1752100</v>
      </c>
      <c r="M38">
        <v>719578</v>
      </c>
      <c r="N38">
        <v>2034100</v>
      </c>
      <c r="O38">
        <v>49.963999999999999</v>
      </c>
      <c r="P38">
        <v>89.577200000000005</v>
      </c>
      <c r="Q38">
        <v>34.2592</v>
      </c>
      <c r="R38">
        <v>115.572</v>
      </c>
      <c r="S38">
        <v>1.39462</v>
      </c>
      <c r="T38">
        <v>1.0661400000000001</v>
      </c>
      <c r="U38">
        <v>1.0190300000000001</v>
      </c>
      <c r="V38">
        <v>0.63612100000000005</v>
      </c>
      <c r="W38">
        <v>0.40466099999999999</v>
      </c>
      <c r="X38">
        <v>0.40912599999999999</v>
      </c>
      <c r="Y38">
        <v>0.56413199999999997</v>
      </c>
      <c r="Z38">
        <v>0.29122300000000001</v>
      </c>
      <c r="AA38">
        <v>1</v>
      </c>
      <c r="AB38">
        <v>0</v>
      </c>
      <c r="AC38">
        <v>0</v>
      </c>
      <c r="AD38">
        <v>0</v>
      </c>
      <c r="AE38">
        <v>0</v>
      </c>
    </row>
    <row r="39" spans="1:31" x14ac:dyDescent="0.2">
      <c r="A39">
        <v>2</v>
      </c>
      <c r="B39">
        <v>5898</v>
      </c>
      <c r="C39" s="17">
        <v>4.5020100000000002E-7</v>
      </c>
      <c r="D39" s="17">
        <v>4.5915599999999999E-7</v>
      </c>
      <c r="E39" s="17">
        <v>4.5363200000000002E-7</v>
      </c>
      <c r="F39" s="17">
        <v>3.4208100000000003E-8</v>
      </c>
      <c r="G39">
        <v>81.270399999999995</v>
      </c>
      <c r="H39">
        <v>81.263199999999998</v>
      </c>
      <c r="I39">
        <v>79.948599999999999</v>
      </c>
      <c r="J39">
        <v>9.2238000000000007</v>
      </c>
      <c r="K39">
        <v>2131590</v>
      </c>
      <c r="L39">
        <v>2085210</v>
      </c>
      <c r="M39">
        <v>1178990</v>
      </c>
      <c r="N39">
        <v>1857930</v>
      </c>
      <c r="O39">
        <v>846.48199999999997</v>
      </c>
      <c r="P39">
        <v>708.09900000000005</v>
      </c>
      <c r="Q39">
        <v>353.56700000000001</v>
      </c>
      <c r="R39">
        <v>813.3</v>
      </c>
      <c r="S39">
        <v>1.20719</v>
      </c>
      <c r="T39">
        <v>1.0739000000000001</v>
      </c>
      <c r="U39">
        <v>0.92913900000000005</v>
      </c>
      <c r="V39">
        <v>0.63592899999999997</v>
      </c>
      <c r="W39">
        <v>0.26229799999999998</v>
      </c>
      <c r="X39">
        <v>0.29801100000000003</v>
      </c>
      <c r="Y39">
        <v>0.22791</v>
      </c>
      <c r="Z39">
        <v>0.18291499999999999</v>
      </c>
      <c r="AA39">
        <v>1</v>
      </c>
      <c r="AB39">
        <v>0</v>
      </c>
      <c r="AC39">
        <v>0</v>
      </c>
      <c r="AD39">
        <v>0</v>
      </c>
      <c r="AE39">
        <v>0</v>
      </c>
    </row>
    <row r="40" spans="1:31" x14ac:dyDescent="0.2">
      <c r="A40">
        <v>2</v>
      </c>
      <c r="B40">
        <v>5899</v>
      </c>
      <c r="C40" s="17">
        <v>4.57695E-7</v>
      </c>
      <c r="D40" s="17">
        <v>4.5581499999999998E-7</v>
      </c>
      <c r="E40" s="17">
        <v>4.5778200000000002E-7</v>
      </c>
      <c r="F40" s="17">
        <v>3.0434300000000003E-8</v>
      </c>
      <c r="G40">
        <v>84.926500000000004</v>
      </c>
      <c r="H40">
        <v>89.244699999999995</v>
      </c>
      <c r="I40">
        <v>85.637900000000002</v>
      </c>
      <c r="J40">
        <v>11.1104</v>
      </c>
      <c r="K40">
        <v>1666430</v>
      </c>
      <c r="L40">
        <v>1880320</v>
      </c>
      <c r="M40">
        <v>1041790</v>
      </c>
      <c r="N40">
        <v>1538100</v>
      </c>
      <c r="O40">
        <v>607.85900000000004</v>
      </c>
      <c r="P40">
        <v>789.096</v>
      </c>
      <c r="Q40">
        <v>372.33100000000002</v>
      </c>
      <c r="R40">
        <v>676.80799999999999</v>
      </c>
      <c r="S40">
        <v>0.95216999999999996</v>
      </c>
      <c r="T40">
        <v>0.99442600000000003</v>
      </c>
      <c r="U40">
        <v>0.95363299999999995</v>
      </c>
      <c r="V40">
        <v>0.492535</v>
      </c>
      <c r="W40">
        <v>0.213315</v>
      </c>
      <c r="X40">
        <v>0.29358899999999999</v>
      </c>
      <c r="Y40">
        <v>0.203599</v>
      </c>
      <c r="Z40">
        <v>0.19947899999999999</v>
      </c>
      <c r="AA40">
        <v>1</v>
      </c>
      <c r="AB40">
        <v>0</v>
      </c>
      <c r="AC40">
        <v>0</v>
      </c>
      <c r="AD40">
        <v>0</v>
      </c>
      <c r="AE40">
        <v>0</v>
      </c>
    </row>
    <row r="41" spans="1:31" x14ac:dyDescent="0.2">
      <c r="A41">
        <v>2</v>
      </c>
      <c r="B41">
        <v>5872</v>
      </c>
      <c r="C41" s="17">
        <v>4.2527100000000002E-7</v>
      </c>
      <c r="D41" s="17">
        <v>4.3279800000000001E-7</v>
      </c>
      <c r="E41" s="17">
        <v>4.2959399999999998E-7</v>
      </c>
      <c r="F41" s="17">
        <v>3.1622999999999998E-8</v>
      </c>
      <c r="G41">
        <v>64.596199999999996</v>
      </c>
      <c r="H41">
        <v>59.7697</v>
      </c>
      <c r="I41">
        <v>63.607999999999997</v>
      </c>
      <c r="J41">
        <v>9.0554400000000008</v>
      </c>
      <c r="K41">
        <v>288783</v>
      </c>
      <c r="L41">
        <v>355270</v>
      </c>
      <c r="M41">
        <v>275432</v>
      </c>
      <c r="N41">
        <v>291456</v>
      </c>
      <c r="O41">
        <v>248.28399999999999</v>
      </c>
      <c r="P41">
        <v>241.45099999999999</v>
      </c>
      <c r="Q41">
        <v>204.48400000000001</v>
      </c>
      <c r="R41">
        <v>210.97200000000001</v>
      </c>
      <c r="S41">
        <v>0.62515500000000002</v>
      </c>
      <c r="T41">
        <v>0.66913400000000001</v>
      </c>
      <c r="U41">
        <v>0.64921600000000002</v>
      </c>
      <c r="V41">
        <v>0.39764699999999997</v>
      </c>
      <c r="W41">
        <v>1.4336100000000001</v>
      </c>
      <c r="X41">
        <v>1.1566000000000001</v>
      </c>
      <c r="Y41">
        <v>1.37087</v>
      </c>
      <c r="Z41">
        <v>0.61349900000000002</v>
      </c>
      <c r="AA41">
        <v>0</v>
      </c>
      <c r="AB41">
        <v>1</v>
      </c>
      <c r="AC41">
        <v>0</v>
      </c>
      <c r="AD41">
        <v>0</v>
      </c>
      <c r="AE41">
        <v>0</v>
      </c>
    </row>
    <row r="42" spans="1:31" x14ac:dyDescent="0.2">
      <c r="A42">
        <v>2</v>
      </c>
      <c r="B42">
        <v>5873</v>
      </c>
      <c r="C42" s="17">
        <v>4.4737400000000002E-7</v>
      </c>
      <c r="D42" s="17">
        <v>4.4506300000000002E-7</v>
      </c>
      <c r="E42" s="17">
        <v>4.4896600000000002E-7</v>
      </c>
      <c r="F42" s="17">
        <v>3.3031199999999997E-8</v>
      </c>
      <c r="G42">
        <v>77.173400000000001</v>
      </c>
      <c r="H42">
        <v>79.8215</v>
      </c>
      <c r="I42">
        <v>80.596699999999998</v>
      </c>
      <c r="J42">
        <v>9.3683899999999998</v>
      </c>
      <c r="K42">
        <v>268211</v>
      </c>
      <c r="L42">
        <v>323069</v>
      </c>
      <c r="M42">
        <v>178189</v>
      </c>
      <c r="N42">
        <v>449720</v>
      </c>
      <c r="O42">
        <v>22.398099999999999</v>
      </c>
      <c r="P42">
        <v>33.776299999999999</v>
      </c>
      <c r="Q42">
        <v>15.733700000000001</v>
      </c>
      <c r="R42">
        <v>54.817100000000003</v>
      </c>
      <c r="S42">
        <v>0.78080400000000005</v>
      </c>
      <c r="T42">
        <v>0.79296299999999997</v>
      </c>
      <c r="U42">
        <v>0.67502899999999999</v>
      </c>
      <c r="V42">
        <v>0.59733099999999995</v>
      </c>
      <c r="W42">
        <v>0.78731200000000001</v>
      </c>
      <c r="X42">
        <v>0.879112</v>
      </c>
      <c r="Y42">
        <v>0.96917900000000001</v>
      </c>
      <c r="Z42">
        <v>0.30388399999999999</v>
      </c>
      <c r="AA42">
        <v>0</v>
      </c>
      <c r="AB42">
        <v>1</v>
      </c>
      <c r="AC42">
        <v>0</v>
      </c>
      <c r="AD42">
        <v>0</v>
      </c>
      <c r="AE42">
        <v>0</v>
      </c>
    </row>
    <row r="43" spans="1:31" x14ac:dyDescent="0.2">
      <c r="A43">
        <v>2</v>
      </c>
      <c r="B43">
        <v>5874</v>
      </c>
      <c r="C43" s="17">
        <v>4.4545499999999999E-7</v>
      </c>
      <c r="D43" s="17">
        <v>4.4855599999999998E-7</v>
      </c>
      <c r="E43" s="17">
        <v>4.4500500000000001E-7</v>
      </c>
      <c r="F43" s="17">
        <v>3.1187199999999998E-8</v>
      </c>
      <c r="G43">
        <v>75.195099999999996</v>
      </c>
      <c r="H43">
        <v>72.888300000000001</v>
      </c>
      <c r="I43">
        <v>75.435900000000004</v>
      </c>
      <c r="J43">
        <v>8.0701599999999996</v>
      </c>
      <c r="K43">
        <v>24205</v>
      </c>
      <c r="L43">
        <v>26944.3</v>
      </c>
      <c r="M43">
        <v>17296.599999999999</v>
      </c>
      <c r="N43">
        <v>23749</v>
      </c>
      <c r="O43">
        <v>10.3354</v>
      </c>
      <c r="P43">
        <v>8.0924399999999999</v>
      </c>
      <c r="Q43">
        <v>5.15069</v>
      </c>
      <c r="R43">
        <v>6.4790999999999999</v>
      </c>
      <c r="S43">
        <v>0.69941500000000001</v>
      </c>
      <c r="T43">
        <v>0.72578699999999996</v>
      </c>
      <c r="U43">
        <v>0.648814</v>
      </c>
      <c r="V43">
        <v>0.27393299999999998</v>
      </c>
      <c r="W43">
        <v>0.82105300000000003</v>
      </c>
      <c r="X43">
        <v>0.75512000000000001</v>
      </c>
      <c r="Y43">
        <v>0.88795100000000005</v>
      </c>
      <c r="Z43">
        <v>0.279111</v>
      </c>
      <c r="AA43">
        <v>0</v>
      </c>
      <c r="AB43">
        <v>1</v>
      </c>
      <c r="AC43">
        <v>0</v>
      </c>
      <c r="AD43">
        <v>0</v>
      </c>
      <c r="AE43">
        <v>0</v>
      </c>
    </row>
    <row r="44" spans="1:31" x14ac:dyDescent="0.2">
      <c r="A44">
        <v>2</v>
      </c>
      <c r="B44">
        <v>5875</v>
      </c>
      <c r="C44" s="17">
        <v>4.41992E-7</v>
      </c>
      <c r="D44" s="17">
        <v>4.4814599999999999E-7</v>
      </c>
      <c r="E44" s="17">
        <v>4.4428699999999999E-7</v>
      </c>
      <c r="F44" s="17">
        <v>3.4558499999999998E-8</v>
      </c>
      <c r="G44">
        <v>78.482299999999995</v>
      </c>
      <c r="H44">
        <v>78.339799999999997</v>
      </c>
      <c r="I44">
        <v>75.953699999999998</v>
      </c>
      <c r="J44">
        <v>11.2463</v>
      </c>
      <c r="K44">
        <v>199557</v>
      </c>
      <c r="L44">
        <v>180597</v>
      </c>
      <c r="M44">
        <v>155458</v>
      </c>
      <c r="N44">
        <v>110922</v>
      </c>
      <c r="O44">
        <v>32.488399999999999</v>
      </c>
      <c r="P44">
        <v>28.7332</v>
      </c>
      <c r="Q44">
        <v>24.4924</v>
      </c>
      <c r="R44">
        <v>24.928999999999998</v>
      </c>
      <c r="S44">
        <v>1.1355999999999999</v>
      </c>
      <c r="T44">
        <v>1.1476299999999999</v>
      </c>
      <c r="U44">
        <v>1.00034</v>
      </c>
      <c r="V44">
        <v>0.62699099999999997</v>
      </c>
      <c r="W44">
        <v>0.93361899999999998</v>
      </c>
      <c r="X44">
        <v>0.96670999999999996</v>
      </c>
      <c r="Y44">
        <v>0.89555200000000001</v>
      </c>
      <c r="Z44">
        <v>0.43819399999999997</v>
      </c>
      <c r="AA44">
        <v>0</v>
      </c>
      <c r="AB44">
        <v>1</v>
      </c>
      <c r="AC44">
        <v>0</v>
      </c>
      <c r="AD44">
        <v>0</v>
      </c>
      <c r="AE44">
        <v>0</v>
      </c>
    </row>
    <row r="45" spans="1:31" x14ac:dyDescent="0.2">
      <c r="A45">
        <v>2</v>
      </c>
      <c r="B45">
        <v>5876</v>
      </c>
      <c r="C45" s="17">
        <v>4.4725500000000002E-7</v>
      </c>
      <c r="D45" s="17">
        <v>4.4317099999999999E-7</v>
      </c>
      <c r="E45" s="17">
        <v>4.4525500000000003E-7</v>
      </c>
      <c r="F45" s="17">
        <v>3.0586699999999998E-8</v>
      </c>
      <c r="G45">
        <v>75.964600000000004</v>
      </c>
      <c r="H45">
        <v>75.188400000000001</v>
      </c>
      <c r="I45">
        <v>75.613699999999994</v>
      </c>
      <c r="J45">
        <v>7.2388899999999996</v>
      </c>
      <c r="K45">
        <v>139435</v>
      </c>
      <c r="L45">
        <v>146593</v>
      </c>
      <c r="M45">
        <v>109705</v>
      </c>
      <c r="N45">
        <v>95743.5</v>
      </c>
      <c r="O45">
        <v>99.132099999999994</v>
      </c>
      <c r="P45">
        <v>99.986900000000006</v>
      </c>
      <c r="Q45">
        <v>73.101500000000001</v>
      </c>
      <c r="R45">
        <v>73.587100000000007</v>
      </c>
      <c r="S45">
        <v>1.0486200000000001</v>
      </c>
      <c r="T45">
        <v>1.1381399999999999</v>
      </c>
      <c r="U45">
        <v>0.98601000000000005</v>
      </c>
      <c r="V45">
        <v>0.62553000000000003</v>
      </c>
      <c r="W45">
        <v>1.5550299999999999</v>
      </c>
      <c r="X45">
        <v>1.4781</v>
      </c>
      <c r="Y45">
        <v>1.4915</v>
      </c>
      <c r="Z45">
        <v>0.380969</v>
      </c>
      <c r="AA45">
        <v>0</v>
      </c>
      <c r="AB45">
        <v>1</v>
      </c>
      <c r="AC45">
        <v>0</v>
      </c>
      <c r="AD45">
        <v>0</v>
      </c>
      <c r="AE45">
        <v>0</v>
      </c>
    </row>
    <row r="46" spans="1:31" x14ac:dyDescent="0.2">
      <c r="A46">
        <v>2</v>
      </c>
      <c r="B46">
        <v>5877</v>
      </c>
      <c r="C46" s="17">
        <v>4.5347800000000001E-7</v>
      </c>
      <c r="D46" s="17">
        <v>4.69133E-7</v>
      </c>
      <c r="E46" s="17">
        <v>4.5882700000000001E-7</v>
      </c>
      <c r="F46" s="17">
        <v>3.23217E-8</v>
      </c>
      <c r="G46">
        <v>88.914699999999996</v>
      </c>
      <c r="H46">
        <v>86.381299999999996</v>
      </c>
      <c r="I46">
        <v>87.965199999999996</v>
      </c>
      <c r="J46">
        <v>9.4396100000000001</v>
      </c>
      <c r="K46">
        <v>29098.1</v>
      </c>
      <c r="L46">
        <v>24040.3</v>
      </c>
      <c r="M46">
        <v>17182.900000000001</v>
      </c>
      <c r="N46">
        <v>12493</v>
      </c>
      <c r="O46">
        <v>51.722900000000003</v>
      </c>
      <c r="P46">
        <v>50.933999999999997</v>
      </c>
      <c r="Q46">
        <v>38.801900000000003</v>
      </c>
      <c r="R46">
        <v>33.1</v>
      </c>
      <c r="S46">
        <v>2.1422500000000002</v>
      </c>
      <c r="T46">
        <v>1.8286800000000001</v>
      </c>
      <c r="U46">
        <v>1.4510700000000001</v>
      </c>
      <c r="V46">
        <v>0.90035100000000001</v>
      </c>
      <c r="W46">
        <v>0.44484200000000002</v>
      </c>
      <c r="X46">
        <v>0.46338600000000002</v>
      </c>
      <c r="Y46">
        <v>0.48307099999999997</v>
      </c>
      <c r="Z46">
        <v>0.214979</v>
      </c>
      <c r="AA46">
        <v>0</v>
      </c>
      <c r="AB46">
        <v>1</v>
      </c>
      <c r="AC46">
        <v>0</v>
      </c>
      <c r="AD46">
        <v>0</v>
      </c>
      <c r="AE46">
        <v>0</v>
      </c>
    </row>
    <row r="47" spans="1:31" x14ac:dyDescent="0.2">
      <c r="A47">
        <v>2</v>
      </c>
      <c r="B47">
        <v>5879</v>
      </c>
      <c r="C47" s="17">
        <v>4.3347199999999998E-7</v>
      </c>
      <c r="D47" s="17">
        <v>4.3231199999999999E-7</v>
      </c>
      <c r="E47" s="17">
        <v>4.39167E-7</v>
      </c>
      <c r="F47" s="17">
        <v>3.4620799999999999E-8</v>
      </c>
      <c r="G47">
        <v>70.380799999999994</v>
      </c>
      <c r="H47">
        <v>71.477999999999994</v>
      </c>
      <c r="I47">
        <v>71.468800000000002</v>
      </c>
      <c r="J47">
        <v>8.1906599999999994</v>
      </c>
      <c r="K47">
        <v>19763.400000000001</v>
      </c>
      <c r="L47">
        <v>14607.1</v>
      </c>
      <c r="M47">
        <v>11955</v>
      </c>
      <c r="N47">
        <v>10107.5</v>
      </c>
      <c r="O47">
        <v>6.5367800000000003</v>
      </c>
      <c r="P47">
        <v>7.5987900000000002</v>
      </c>
      <c r="Q47">
        <v>6.8013500000000002</v>
      </c>
      <c r="R47">
        <v>4.87744</v>
      </c>
      <c r="S47">
        <v>1.4112899999999999</v>
      </c>
      <c r="T47">
        <v>1.20391</v>
      </c>
      <c r="U47">
        <v>1.06189</v>
      </c>
      <c r="V47">
        <v>0.60233300000000001</v>
      </c>
      <c r="W47">
        <v>1.8114399999999999</v>
      </c>
      <c r="X47">
        <v>1.8501700000000001</v>
      </c>
      <c r="Y47">
        <v>2.0175700000000001</v>
      </c>
      <c r="Z47">
        <v>0.64513699999999996</v>
      </c>
      <c r="AA47">
        <v>0</v>
      </c>
      <c r="AB47">
        <v>1</v>
      </c>
      <c r="AC47">
        <v>0</v>
      </c>
      <c r="AD47">
        <v>0</v>
      </c>
      <c r="AE47">
        <v>0</v>
      </c>
    </row>
    <row r="48" spans="1:31" x14ac:dyDescent="0.2">
      <c r="A48">
        <v>2</v>
      </c>
      <c r="B48">
        <v>5880</v>
      </c>
      <c r="C48" s="17">
        <v>4.6127E-7</v>
      </c>
      <c r="D48" s="17">
        <v>4.46585E-7</v>
      </c>
      <c r="E48" s="17">
        <v>4.4478300000000002E-7</v>
      </c>
      <c r="F48" s="17">
        <v>3.1527899999999997E-8</v>
      </c>
      <c r="G48">
        <v>75.107200000000006</v>
      </c>
      <c r="H48">
        <v>70.994</v>
      </c>
      <c r="I48">
        <v>74.501000000000005</v>
      </c>
      <c r="J48">
        <v>8.8986900000000002</v>
      </c>
      <c r="K48">
        <v>240860</v>
      </c>
      <c r="L48">
        <v>239986</v>
      </c>
      <c r="M48">
        <v>175144</v>
      </c>
      <c r="N48">
        <v>193930</v>
      </c>
      <c r="O48">
        <v>135.678</v>
      </c>
      <c r="P48">
        <v>176.37200000000001</v>
      </c>
      <c r="Q48">
        <v>134.053</v>
      </c>
      <c r="R48">
        <v>147.726</v>
      </c>
      <c r="S48">
        <v>1.0968800000000001</v>
      </c>
      <c r="T48">
        <v>0.85844299999999996</v>
      </c>
      <c r="U48">
        <v>0.76537599999999995</v>
      </c>
      <c r="V48">
        <v>0.53702099999999997</v>
      </c>
      <c r="W48">
        <v>0.92515599999999998</v>
      </c>
      <c r="X48">
        <v>0.70322600000000002</v>
      </c>
      <c r="Y48">
        <v>0.85127299999999995</v>
      </c>
      <c r="Z48">
        <v>0.28487299999999999</v>
      </c>
      <c r="AA48">
        <v>0</v>
      </c>
      <c r="AB48">
        <v>1</v>
      </c>
      <c r="AC48">
        <v>0</v>
      </c>
      <c r="AD48">
        <v>0</v>
      </c>
      <c r="AE48">
        <v>0</v>
      </c>
    </row>
    <row r="49" spans="1:31" x14ac:dyDescent="0.2">
      <c r="A49">
        <v>2</v>
      </c>
      <c r="B49">
        <v>5881</v>
      </c>
      <c r="C49" s="17">
        <v>4.4677900000000001E-7</v>
      </c>
      <c r="D49" s="17">
        <v>4.3628599999999999E-7</v>
      </c>
      <c r="E49" s="17">
        <v>4.4454999999999999E-7</v>
      </c>
      <c r="F49" s="17">
        <v>2.9398899999999999E-8</v>
      </c>
      <c r="G49">
        <v>70.910399999999996</v>
      </c>
      <c r="H49">
        <v>73.697900000000004</v>
      </c>
      <c r="I49">
        <v>75.221000000000004</v>
      </c>
      <c r="J49">
        <v>9.7198200000000003</v>
      </c>
      <c r="K49">
        <v>354084</v>
      </c>
      <c r="L49">
        <v>292227</v>
      </c>
      <c r="M49">
        <v>251253</v>
      </c>
      <c r="N49">
        <v>205048</v>
      </c>
      <c r="O49">
        <v>39.9998</v>
      </c>
      <c r="P49">
        <v>47.521299999999997</v>
      </c>
      <c r="Q49">
        <v>31.407299999999999</v>
      </c>
      <c r="R49">
        <v>45.468699999999998</v>
      </c>
      <c r="S49">
        <v>0.85614900000000005</v>
      </c>
      <c r="T49">
        <v>0.72573799999999999</v>
      </c>
      <c r="U49">
        <v>0.72577899999999995</v>
      </c>
      <c r="V49">
        <v>0.383772</v>
      </c>
      <c r="W49">
        <v>0.95399100000000003</v>
      </c>
      <c r="X49">
        <v>0.99551100000000003</v>
      </c>
      <c r="Y49">
        <v>1.16354</v>
      </c>
      <c r="Z49">
        <v>0.405781</v>
      </c>
      <c r="AA49">
        <v>0</v>
      </c>
      <c r="AB49">
        <v>1</v>
      </c>
      <c r="AC49">
        <v>0</v>
      </c>
      <c r="AD49">
        <v>0</v>
      </c>
      <c r="AE49">
        <v>0</v>
      </c>
    </row>
    <row r="50" spans="1:31" x14ac:dyDescent="0.2">
      <c r="A50">
        <v>2</v>
      </c>
      <c r="B50">
        <v>5882</v>
      </c>
      <c r="C50" s="17">
        <v>4.51604E-7</v>
      </c>
      <c r="D50" s="17">
        <v>4.46587E-7</v>
      </c>
      <c r="E50" s="17">
        <v>4.40939E-7</v>
      </c>
      <c r="F50" s="17">
        <v>3.4791100000000002E-8</v>
      </c>
      <c r="G50">
        <v>74.528300000000002</v>
      </c>
      <c r="H50">
        <v>75.717799999999997</v>
      </c>
      <c r="I50">
        <v>71.7898</v>
      </c>
      <c r="J50">
        <v>15.2263</v>
      </c>
      <c r="K50">
        <v>13583.3</v>
      </c>
      <c r="L50">
        <v>17812.2</v>
      </c>
      <c r="M50">
        <v>12801.3</v>
      </c>
      <c r="N50">
        <v>9540.02</v>
      </c>
      <c r="O50">
        <v>13.9458</v>
      </c>
      <c r="P50">
        <v>9.6341300000000007</v>
      </c>
      <c r="Q50">
        <v>9.6792999999999996</v>
      </c>
      <c r="R50">
        <v>8.6809600000000007</v>
      </c>
      <c r="S50">
        <v>0.93407099999999998</v>
      </c>
      <c r="T50">
        <v>1.2204200000000001</v>
      </c>
      <c r="U50">
        <v>0.93229499999999998</v>
      </c>
      <c r="V50">
        <v>0.48385499999999998</v>
      </c>
      <c r="W50">
        <v>3.60948</v>
      </c>
      <c r="X50">
        <v>3.61591</v>
      </c>
      <c r="Y50">
        <v>3.24709</v>
      </c>
      <c r="Z50">
        <v>1.3390299999999999</v>
      </c>
      <c r="AA50">
        <v>1</v>
      </c>
      <c r="AB50">
        <v>1</v>
      </c>
      <c r="AC50">
        <v>0</v>
      </c>
      <c r="AD50">
        <v>0</v>
      </c>
      <c r="AE50">
        <v>1</v>
      </c>
    </row>
    <row r="51" spans="1:31" x14ac:dyDescent="0.2">
      <c r="A51">
        <v>2</v>
      </c>
      <c r="B51">
        <v>5883</v>
      </c>
      <c r="C51" s="17">
        <v>4.4445900000000002E-7</v>
      </c>
      <c r="D51" s="17">
        <v>4.4176000000000001E-7</v>
      </c>
      <c r="E51" s="17">
        <v>4.3891099999999998E-7</v>
      </c>
      <c r="F51" s="17">
        <v>3.2479999999999997E-8</v>
      </c>
      <c r="G51">
        <v>78.727199999999996</v>
      </c>
      <c r="H51">
        <v>75.449600000000004</v>
      </c>
      <c r="I51">
        <v>74.483400000000003</v>
      </c>
      <c r="J51">
        <v>8.7540399999999998</v>
      </c>
      <c r="K51">
        <v>639.71400000000006</v>
      </c>
      <c r="L51">
        <v>664.99599999999998</v>
      </c>
      <c r="M51">
        <v>668.00400000000002</v>
      </c>
      <c r="N51">
        <v>382.79300000000001</v>
      </c>
      <c r="O51">
        <v>9.8204999999999991</v>
      </c>
      <c r="P51">
        <v>7.6128200000000001</v>
      </c>
      <c r="Q51">
        <v>7.8928900000000004</v>
      </c>
      <c r="R51">
        <v>4.6538899999999996</v>
      </c>
      <c r="S51">
        <v>0.72604199999999997</v>
      </c>
      <c r="T51">
        <v>0.77695599999999998</v>
      </c>
      <c r="U51">
        <v>0.72668900000000003</v>
      </c>
      <c r="V51">
        <v>0.16431899999999999</v>
      </c>
      <c r="W51">
        <v>0.94986499999999996</v>
      </c>
      <c r="X51">
        <v>0.82682699999999998</v>
      </c>
      <c r="Y51">
        <v>0.82167599999999996</v>
      </c>
      <c r="Z51">
        <v>0.32727299999999998</v>
      </c>
      <c r="AA51">
        <v>1</v>
      </c>
      <c r="AB51">
        <v>1</v>
      </c>
      <c r="AC51">
        <v>0</v>
      </c>
      <c r="AD51">
        <v>0</v>
      </c>
      <c r="AE51">
        <v>1</v>
      </c>
    </row>
    <row r="52" spans="1:31" x14ac:dyDescent="0.2">
      <c r="A52">
        <v>2</v>
      </c>
      <c r="B52">
        <v>5884</v>
      </c>
      <c r="C52" s="17">
        <v>4.40561E-7</v>
      </c>
      <c r="D52" s="17">
        <v>4.4456899999999999E-7</v>
      </c>
      <c r="E52" s="17">
        <v>4.4581500000000003E-7</v>
      </c>
      <c r="F52" s="17">
        <v>3.0272299999999998E-8</v>
      </c>
      <c r="G52">
        <v>75.237399999999994</v>
      </c>
      <c r="H52">
        <v>77.999899999999997</v>
      </c>
      <c r="I52">
        <v>76.923500000000004</v>
      </c>
      <c r="J52">
        <v>10.9053</v>
      </c>
      <c r="K52">
        <v>31646.799999999999</v>
      </c>
      <c r="L52">
        <v>25395.9</v>
      </c>
      <c r="M52">
        <v>25844.400000000001</v>
      </c>
      <c r="N52">
        <v>13521.2</v>
      </c>
      <c r="O52">
        <v>64.723600000000005</v>
      </c>
      <c r="P52">
        <v>74.269900000000007</v>
      </c>
      <c r="Q52">
        <v>52.067900000000002</v>
      </c>
      <c r="R52">
        <v>36.105600000000003</v>
      </c>
      <c r="S52">
        <v>0.66443399999999997</v>
      </c>
      <c r="T52">
        <v>0.51629599999999998</v>
      </c>
      <c r="U52">
        <v>0.59149700000000005</v>
      </c>
      <c r="V52">
        <v>0.18757099999999999</v>
      </c>
      <c r="W52">
        <v>0.69061499999999998</v>
      </c>
      <c r="X52">
        <v>0.83760400000000002</v>
      </c>
      <c r="Y52">
        <v>0.86501099999999997</v>
      </c>
      <c r="Z52">
        <v>0.36127500000000001</v>
      </c>
      <c r="AA52">
        <v>1</v>
      </c>
      <c r="AB52">
        <v>1</v>
      </c>
      <c r="AC52">
        <v>0</v>
      </c>
      <c r="AD52">
        <v>0</v>
      </c>
      <c r="AE52">
        <v>1</v>
      </c>
    </row>
    <row r="53" spans="1:31" x14ac:dyDescent="0.2">
      <c r="A53">
        <v>2</v>
      </c>
      <c r="B53">
        <v>5886</v>
      </c>
      <c r="C53" s="17">
        <v>4.3354600000000001E-7</v>
      </c>
      <c r="D53" s="17">
        <v>4.4364400000000003E-7</v>
      </c>
      <c r="E53" s="17">
        <v>4.4165399999999999E-7</v>
      </c>
      <c r="F53" s="17">
        <v>2.7943000000000001E-8</v>
      </c>
      <c r="G53">
        <v>76.492599999999996</v>
      </c>
      <c r="H53">
        <v>76.369799999999998</v>
      </c>
      <c r="I53">
        <v>76.276499999999999</v>
      </c>
      <c r="J53">
        <v>7.8811099999999996</v>
      </c>
      <c r="K53">
        <v>2049.86</v>
      </c>
      <c r="L53">
        <v>1533.67</v>
      </c>
      <c r="M53">
        <v>1388.41</v>
      </c>
      <c r="N53">
        <v>604.28399999999999</v>
      </c>
      <c r="O53">
        <v>14.624000000000001</v>
      </c>
      <c r="P53">
        <v>13.8604</v>
      </c>
      <c r="Q53">
        <v>16.796299999999999</v>
      </c>
      <c r="R53">
        <v>7.3849799999999997</v>
      </c>
      <c r="S53">
        <v>0.53851000000000004</v>
      </c>
      <c r="T53">
        <v>0.46771000000000001</v>
      </c>
      <c r="U53">
        <v>0.41743799999999998</v>
      </c>
      <c r="V53">
        <v>0.103712</v>
      </c>
      <c r="W53">
        <v>0.69281499999999996</v>
      </c>
      <c r="X53">
        <v>0.76910699999999999</v>
      </c>
      <c r="Y53">
        <v>0.76663400000000004</v>
      </c>
      <c r="Z53">
        <v>0.28786499999999998</v>
      </c>
      <c r="AA53">
        <v>1</v>
      </c>
      <c r="AB53">
        <v>1</v>
      </c>
      <c r="AC53">
        <v>0</v>
      </c>
      <c r="AD53">
        <v>0</v>
      </c>
      <c r="AE53">
        <v>1</v>
      </c>
    </row>
    <row r="54" spans="1:31" x14ac:dyDescent="0.2">
      <c r="A54">
        <v>2</v>
      </c>
      <c r="B54">
        <v>5887</v>
      </c>
      <c r="C54" s="17">
        <v>4.2929E-7</v>
      </c>
      <c r="D54" s="17">
        <v>4.3347700000000001E-7</v>
      </c>
      <c r="E54" s="17">
        <v>4.3367500000000002E-7</v>
      </c>
      <c r="F54" s="17">
        <v>2.7754600000000001E-8</v>
      </c>
      <c r="G54">
        <v>67.788499999999999</v>
      </c>
      <c r="H54">
        <v>69.175200000000004</v>
      </c>
      <c r="I54">
        <v>67.235699999999994</v>
      </c>
      <c r="J54">
        <v>8.5365000000000002</v>
      </c>
      <c r="K54">
        <v>14363.8</v>
      </c>
      <c r="L54">
        <v>13177.4</v>
      </c>
      <c r="M54">
        <v>11150.2</v>
      </c>
      <c r="N54">
        <v>8783.7099999999991</v>
      </c>
      <c r="O54">
        <v>30.143799999999999</v>
      </c>
      <c r="P54">
        <v>38.638500000000001</v>
      </c>
      <c r="Q54">
        <v>25.575900000000001</v>
      </c>
      <c r="R54">
        <v>30.529900000000001</v>
      </c>
      <c r="S54">
        <v>0.62991600000000003</v>
      </c>
      <c r="T54">
        <v>0.53932400000000003</v>
      </c>
      <c r="U54">
        <v>0.53837400000000002</v>
      </c>
      <c r="V54">
        <v>0.22314600000000001</v>
      </c>
      <c r="W54">
        <v>1.4478899999999999</v>
      </c>
      <c r="X54">
        <v>1.59141</v>
      </c>
      <c r="Y54">
        <v>1.5221</v>
      </c>
      <c r="Z54">
        <v>0.60567499999999996</v>
      </c>
      <c r="AA54">
        <v>1</v>
      </c>
      <c r="AB54">
        <v>1</v>
      </c>
      <c r="AC54">
        <v>0</v>
      </c>
      <c r="AD54">
        <v>0</v>
      </c>
      <c r="AE54">
        <v>1</v>
      </c>
    </row>
    <row r="55" spans="1:31" x14ac:dyDescent="0.2">
      <c r="A55">
        <v>2</v>
      </c>
      <c r="B55">
        <v>5888</v>
      </c>
      <c r="C55" s="17">
        <v>4.5017299999999999E-7</v>
      </c>
      <c r="D55" s="17">
        <v>4.36177E-7</v>
      </c>
      <c r="E55" s="17">
        <v>4.4665300000000002E-7</v>
      </c>
      <c r="F55" s="17">
        <v>3.2680400000000001E-8</v>
      </c>
      <c r="G55">
        <v>78.453400000000002</v>
      </c>
      <c r="H55">
        <v>76.418300000000002</v>
      </c>
      <c r="I55">
        <v>76.496399999999994</v>
      </c>
      <c r="J55">
        <v>9.9718</v>
      </c>
      <c r="K55">
        <v>29833.4</v>
      </c>
      <c r="L55">
        <v>24867.599999999999</v>
      </c>
      <c r="M55">
        <v>21745.3</v>
      </c>
      <c r="N55">
        <v>11922</v>
      </c>
      <c r="O55">
        <v>25.588200000000001</v>
      </c>
      <c r="P55">
        <v>22.044</v>
      </c>
      <c r="Q55">
        <v>18.379100000000001</v>
      </c>
      <c r="R55">
        <v>15.307399999999999</v>
      </c>
      <c r="S55">
        <v>1.07996</v>
      </c>
      <c r="T55">
        <v>0.96524900000000002</v>
      </c>
      <c r="U55">
        <v>0.91446700000000003</v>
      </c>
      <c r="V55">
        <v>0.335225</v>
      </c>
      <c r="W55">
        <v>3.61951</v>
      </c>
      <c r="X55">
        <v>3.2716400000000001</v>
      </c>
      <c r="Y55">
        <v>3.4613499999999999</v>
      </c>
      <c r="Z55">
        <v>0.81988499999999997</v>
      </c>
      <c r="AA55">
        <v>1</v>
      </c>
      <c r="AB55">
        <v>1</v>
      </c>
      <c r="AC55">
        <v>0</v>
      </c>
      <c r="AD55">
        <v>0</v>
      </c>
      <c r="AE55">
        <v>1</v>
      </c>
    </row>
    <row r="56" spans="1:31" x14ac:dyDescent="0.2">
      <c r="A56">
        <v>2</v>
      </c>
      <c r="B56">
        <v>5889</v>
      </c>
      <c r="C56" s="17">
        <v>4.3222500000000002E-7</v>
      </c>
      <c r="D56" s="17">
        <v>4.2845099999999998E-7</v>
      </c>
      <c r="E56" s="17">
        <v>4.3301500000000002E-7</v>
      </c>
      <c r="F56" s="17">
        <v>3.1167499999999998E-8</v>
      </c>
      <c r="G56">
        <v>66.811499999999995</v>
      </c>
      <c r="H56">
        <v>65.817599999999999</v>
      </c>
      <c r="I56">
        <v>65.920900000000003</v>
      </c>
      <c r="J56">
        <v>10.587</v>
      </c>
      <c r="K56">
        <v>49624.7</v>
      </c>
      <c r="L56">
        <v>48296.800000000003</v>
      </c>
      <c r="M56">
        <v>30211.599999999999</v>
      </c>
      <c r="N56">
        <v>35812.400000000001</v>
      </c>
      <c r="O56">
        <v>121.84099999999999</v>
      </c>
      <c r="P56">
        <v>108.82899999999999</v>
      </c>
      <c r="Q56">
        <v>86.690399999999997</v>
      </c>
      <c r="R56">
        <v>82.252499999999998</v>
      </c>
      <c r="S56">
        <v>0.75363800000000003</v>
      </c>
      <c r="T56">
        <v>0.85474899999999998</v>
      </c>
      <c r="U56">
        <v>0.64172499999999999</v>
      </c>
      <c r="V56">
        <v>0.50343199999999999</v>
      </c>
      <c r="W56">
        <v>2.8541500000000002</v>
      </c>
      <c r="X56">
        <v>2.7224499999999998</v>
      </c>
      <c r="Y56">
        <v>2.9060600000000001</v>
      </c>
      <c r="Z56">
        <v>1.0451600000000001</v>
      </c>
      <c r="AA56">
        <v>1</v>
      </c>
      <c r="AB56">
        <v>1</v>
      </c>
      <c r="AC56">
        <v>0</v>
      </c>
      <c r="AD56">
        <v>0</v>
      </c>
      <c r="AE56">
        <v>1</v>
      </c>
    </row>
    <row r="57" spans="1:31" x14ac:dyDescent="0.2">
      <c r="A57">
        <v>2</v>
      </c>
      <c r="B57">
        <v>5890</v>
      </c>
      <c r="C57" s="17">
        <v>4.3459900000000001E-7</v>
      </c>
      <c r="D57" s="17">
        <v>4.3835899999999999E-7</v>
      </c>
      <c r="E57" s="17">
        <v>4.36758E-7</v>
      </c>
      <c r="F57" s="17">
        <v>3.2266599999999999E-8</v>
      </c>
      <c r="G57">
        <v>73.040499999999994</v>
      </c>
      <c r="H57">
        <v>68.936000000000007</v>
      </c>
      <c r="I57">
        <v>69.026200000000003</v>
      </c>
      <c r="J57">
        <v>10.7638</v>
      </c>
      <c r="K57">
        <v>2334.0100000000002</v>
      </c>
      <c r="L57">
        <v>2165.92</v>
      </c>
      <c r="M57">
        <v>1605.4</v>
      </c>
      <c r="N57">
        <v>1833.99</v>
      </c>
      <c r="O57">
        <v>10.432</v>
      </c>
      <c r="P57">
        <v>11.289899999999999</v>
      </c>
      <c r="Q57">
        <v>10.5337</v>
      </c>
      <c r="R57">
        <v>5.96096</v>
      </c>
      <c r="S57">
        <v>1.3680000000000001</v>
      </c>
      <c r="T57">
        <v>1.2786999999999999</v>
      </c>
      <c r="U57">
        <v>1.04339</v>
      </c>
      <c r="V57">
        <v>0.64871299999999998</v>
      </c>
      <c r="W57">
        <v>5.7212699999999996</v>
      </c>
      <c r="X57">
        <v>5.2433500000000004</v>
      </c>
      <c r="Y57">
        <v>4.8145199999999999</v>
      </c>
      <c r="Z57">
        <v>1.7142200000000001</v>
      </c>
      <c r="AA57">
        <v>1</v>
      </c>
      <c r="AB57">
        <v>1</v>
      </c>
      <c r="AC57">
        <v>0</v>
      </c>
      <c r="AD57">
        <v>0</v>
      </c>
      <c r="AE5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46"/>
  <sheetViews>
    <sheetView workbookViewId="0">
      <selection activeCell="F30" sqref="F30"/>
    </sheetView>
  </sheetViews>
  <sheetFormatPr baseColWidth="10" defaultRowHeight="16" x14ac:dyDescent="0.2"/>
  <sheetData>
    <row r="1" spans="1:29" x14ac:dyDescent="0.2">
      <c r="B1" s="18"/>
      <c r="C1" s="18" t="s">
        <v>61</v>
      </c>
      <c r="D1" s="18"/>
      <c r="E1" s="18"/>
      <c r="F1" s="18"/>
      <c r="G1" s="18" t="s">
        <v>62</v>
      </c>
      <c r="H1" s="18"/>
      <c r="I1" s="18"/>
      <c r="J1" s="18"/>
      <c r="K1" s="18" t="s">
        <v>63</v>
      </c>
      <c r="L1" s="18"/>
      <c r="M1" s="18"/>
      <c r="N1" s="18"/>
      <c r="O1" s="18" t="s">
        <v>64</v>
      </c>
      <c r="P1" s="18"/>
      <c r="Q1" s="18"/>
      <c r="R1" s="18"/>
      <c r="S1" s="18" t="s">
        <v>65</v>
      </c>
      <c r="T1" s="18"/>
      <c r="U1" s="18"/>
      <c r="V1" s="18"/>
      <c r="W1" s="18" t="s">
        <v>66</v>
      </c>
      <c r="X1" s="18"/>
      <c r="Y1" s="18"/>
      <c r="Z1" s="18"/>
    </row>
    <row r="2" spans="1:29" x14ac:dyDescent="0.2">
      <c r="A2" s="18" t="s">
        <v>0</v>
      </c>
      <c r="B2" s="18" t="s">
        <v>73</v>
      </c>
      <c r="C2" s="18" t="s">
        <v>55</v>
      </c>
      <c r="D2" s="18" t="s">
        <v>56</v>
      </c>
      <c r="E2" s="18" t="s">
        <v>57</v>
      </c>
      <c r="F2" s="18" t="s">
        <v>58</v>
      </c>
      <c r="G2" s="18" t="s">
        <v>55</v>
      </c>
      <c r="H2" s="18" t="s">
        <v>56</v>
      </c>
      <c r="I2" s="18" t="s">
        <v>57</v>
      </c>
      <c r="J2" s="18" t="s">
        <v>58</v>
      </c>
      <c r="K2" s="18" t="s">
        <v>55</v>
      </c>
      <c r="L2" s="18" t="s">
        <v>56</v>
      </c>
      <c r="M2" s="18" t="s">
        <v>57</v>
      </c>
      <c r="N2" s="18" t="s">
        <v>58</v>
      </c>
      <c r="O2" s="18" t="s">
        <v>55</v>
      </c>
      <c r="P2" s="18" t="s">
        <v>56</v>
      </c>
      <c r="Q2" s="18" t="s">
        <v>57</v>
      </c>
      <c r="R2" s="18" t="s">
        <v>58</v>
      </c>
      <c r="S2" s="18" t="s">
        <v>55</v>
      </c>
      <c r="T2" s="18" t="s">
        <v>56</v>
      </c>
      <c r="U2" s="18" t="s">
        <v>57</v>
      </c>
      <c r="V2" s="18" t="s">
        <v>58</v>
      </c>
      <c r="W2" s="18" t="s">
        <v>55</v>
      </c>
      <c r="X2" s="18" t="s">
        <v>56</v>
      </c>
      <c r="Y2" s="18" t="s">
        <v>57</v>
      </c>
      <c r="Z2" s="18" t="s">
        <v>58</v>
      </c>
      <c r="AA2" t="s">
        <v>38</v>
      </c>
      <c r="AB2" t="s">
        <v>51</v>
      </c>
      <c r="AC2" t="s">
        <v>74</v>
      </c>
    </row>
    <row r="3" spans="1:29" x14ac:dyDescent="0.2">
      <c r="A3">
        <v>3</v>
      </c>
      <c r="B3">
        <v>1</v>
      </c>
      <c r="C3" s="17">
        <v>1.2642600000000001E-6</v>
      </c>
      <c r="D3" s="17">
        <v>1.2232500000000001E-6</v>
      </c>
      <c r="E3" s="17">
        <v>1.1956799999999999E-6</v>
      </c>
      <c r="F3" s="17">
        <v>2.1383700000000001E-7</v>
      </c>
      <c r="G3">
        <v>39.142000000000003</v>
      </c>
      <c r="H3">
        <v>39.0505</v>
      </c>
      <c r="I3">
        <v>39.0505</v>
      </c>
      <c r="J3">
        <v>0</v>
      </c>
      <c r="K3">
        <v>69010</v>
      </c>
      <c r="L3">
        <v>70891.7</v>
      </c>
      <c r="M3">
        <v>65320.6</v>
      </c>
      <c r="N3">
        <v>28586.2</v>
      </c>
      <c r="O3">
        <v>0.43262800000000001</v>
      </c>
      <c r="P3">
        <v>0.40201300000000001</v>
      </c>
      <c r="Q3">
        <v>0.18123700000000001</v>
      </c>
      <c r="R3">
        <v>0.80191800000000002</v>
      </c>
      <c r="S3">
        <v>3.6473499999999999</v>
      </c>
      <c r="T3">
        <v>3.6176499999999998</v>
      </c>
      <c r="U3">
        <v>3.6176499999999998</v>
      </c>
      <c r="V3">
        <v>0</v>
      </c>
      <c r="W3">
        <v>2.8881899999999998</v>
      </c>
      <c r="X3">
        <v>2.7213400000000001</v>
      </c>
      <c r="Y3">
        <v>2.6995100000000001</v>
      </c>
      <c r="Z3">
        <v>0.80578300000000003</v>
      </c>
      <c r="AA3">
        <v>0</v>
      </c>
      <c r="AB3">
        <v>0</v>
      </c>
      <c r="AC3">
        <v>0</v>
      </c>
    </row>
    <row r="4" spans="1:29" x14ac:dyDescent="0.2">
      <c r="A4">
        <v>3</v>
      </c>
      <c r="B4">
        <v>2</v>
      </c>
      <c r="C4" s="17">
        <v>9.7935300000000007E-7</v>
      </c>
      <c r="D4" s="17">
        <v>9.8660000000000001E-7</v>
      </c>
      <c r="E4" s="17">
        <v>1.08279E-6</v>
      </c>
      <c r="F4" s="17">
        <v>2.3920399999999998E-7</v>
      </c>
      <c r="G4">
        <v>39.142000000000003</v>
      </c>
      <c r="H4">
        <v>39.0505</v>
      </c>
      <c r="I4">
        <v>39.0505</v>
      </c>
      <c r="J4">
        <v>0</v>
      </c>
      <c r="K4">
        <v>287409</v>
      </c>
      <c r="L4">
        <v>260394</v>
      </c>
      <c r="M4">
        <v>250077</v>
      </c>
      <c r="N4">
        <v>132255</v>
      </c>
      <c r="O4">
        <v>9.3972899999999999</v>
      </c>
      <c r="P4">
        <v>3.6384500000000002</v>
      </c>
      <c r="Q4">
        <v>0.96649499999999999</v>
      </c>
      <c r="R4">
        <v>9.0592199999999998</v>
      </c>
      <c r="S4">
        <v>3.6473499999999999</v>
      </c>
      <c r="T4">
        <v>3.6176499999999998</v>
      </c>
      <c r="U4">
        <v>3.6176499999999998</v>
      </c>
      <c r="V4">
        <v>0</v>
      </c>
      <c r="W4">
        <v>7.5337100000000001</v>
      </c>
      <c r="X4">
        <v>7.6154400000000004</v>
      </c>
      <c r="Y4">
        <v>7.0415799999999997</v>
      </c>
      <c r="Z4">
        <v>2.17544</v>
      </c>
      <c r="AA4">
        <v>0</v>
      </c>
      <c r="AB4">
        <v>0</v>
      </c>
      <c r="AC4">
        <v>0</v>
      </c>
    </row>
    <row r="5" spans="1:29" x14ac:dyDescent="0.2">
      <c r="A5">
        <v>3</v>
      </c>
      <c r="B5">
        <v>3</v>
      </c>
      <c r="C5" s="17">
        <v>1.0053900000000001E-6</v>
      </c>
      <c r="D5" s="17">
        <v>1.0358600000000001E-6</v>
      </c>
      <c r="E5" s="17">
        <v>1.0108900000000001E-6</v>
      </c>
      <c r="F5" s="17">
        <v>1.9488699999999999E-7</v>
      </c>
      <c r="G5">
        <v>39.142000000000003</v>
      </c>
      <c r="H5">
        <v>39.0505</v>
      </c>
      <c r="I5">
        <v>39.0505</v>
      </c>
      <c r="J5">
        <v>0</v>
      </c>
      <c r="K5">
        <v>39462.1</v>
      </c>
      <c r="L5">
        <v>41140</v>
      </c>
      <c r="M5">
        <v>38787.9</v>
      </c>
      <c r="N5">
        <v>14710.6</v>
      </c>
      <c r="O5">
        <v>0.81121299999999996</v>
      </c>
      <c r="P5">
        <v>0.98900900000000003</v>
      </c>
      <c r="Q5">
        <v>0.56736900000000001</v>
      </c>
      <c r="R5">
        <v>1.56996</v>
      </c>
      <c r="S5">
        <v>3.6473499999999999</v>
      </c>
      <c r="T5">
        <v>3.6176499999999998</v>
      </c>
      <c r="U5">
        <v>3.6176499999999998</v>
      </c>
      <c r="V5">
        <v>0</v>
      </c>
      <c r="W5">
        <v>2.6040899999999998</v>
      </c>
      <c r="X5">
        <v>2.6909299999999998</v>
      </c>
      <c r="Y5">
        <v>2.7211599999999998</v>
      </c>
      <c r="Z5">
        <v>0.97800100000000001</v>
      </c>
      <c r="AA5">
        <v>0</v>
      </c>
      <c r="AB5">
        <v>0</v>
      </c>
      <c r="AC5">
        <v>0</v>
      </c>
    </row>
    <row r="6" spans="1:29" x14ac:dyDescent="0.2">
      <c r="A6">
        <v>3</v>
      </c>
      <c r="B6">
        <v>4</v>
      </c>
      <c r="C6" s="17">
        <v>1.02491E-6</v>
      </c>
      <c r="D6" s="17">
        <v>1.0540199999999999E-6</v>
      </c>
      <c r="E6" s="17">
        <v>1.02617E-6</v>
      </c>
      <c r="F6" s="17">
        <v>2.1981200000000001E-7</v>
      </c>
      <c r="G6">
        <v>39.142000000000003</v>
      </c>
      <c r="H6">
        <v>39.0505</v>
      </c>
      <c r="I6">
        <v>39.0505</v>
      </c>
      <c r="J6">
        <v>0</v>
      </c>
      <c r="K6">
        <v>209653</v>
      </c>
      <c r="L6">
        <v>209025</v>
      </c>
      <c r="M6">
        <v>185665</v>
      </c>
      <c r="N6">
        <v>97941.6</v>
      </c>
      <c r="O6">
        <v>62.195799999999998</v>
      </c>
      <c r="P6">
        <v>69.430300000000003</v>
      </c>
      <c r="Q6">
        <v>42.000700000000002</v>
      </c>
      <c r="R6">
        <v>103.636</v>
      </c>
      <c r="S6">
        <v>3.6473499999999999</v>
      </c>
      <c r="T6">
        <v>3.6176499999999998</v>
      </c>
      <c r="U6">
        <v>3.6176499999999998</v>
      </c>
      <c r="V6">
        <v>0</v>
      </c>
      <c r="W6">
        <v>2.6292300000000002</v>
      </c>
      <c r="X6">
        <v>2.7805399999999998</v>
      </c>
      <c r="Y6">
        <v>2.9990600000000001</v>
      </c>
      <c r="Z6">
        <v>0.98103799999999997</v>
      </c>
      <c r="AA6">
        <v>0</v>
      </c>
      <c r="AB6">
        <v>0</v>
      </c>
      <c r="AC6">
        <v>0</v>
      </c>
    </row>
    <row r="7" spans="1:29" x14ac:dyDescent="0.2">
      <c r="A7">
        <v>3</v>
      </c>
      <c r="B7">
        <v>5</v>
      </c>
      <c r="C7" s="17">
        <v>9.4008200000000004E-7</v>
      </c>
      <c r="D7" s="17">
        <v>9.3766200000000005E-7</v>
      </c>
      <c r="E7" s="17">
        <v>9.0469599999999999E-7</v>
      </c>
      <c r="F7" s="17">
        <v>2.0865699999999999E-7</v>
      </c>
      <c r="G7">
        <v>39.142000000000003</v>
      </c>
      <c r="H7">
        <v>39.0505</v>
      </c>
      <c r="I7">
        <v>39.0505</v>
      </c>
      <c r="J7">
        <v>0</v>
      </c>
      <c r="K7">
        <v>96475.4</v>
      </c>
      <c r="L7">
        <v>92871.8</v>
      </c>
      <c r="M7">
        <v>74817.7</v>
      </c>
      <c r="N7">
        <v>44464.6</v>
      </c>
      <c r="O7">
        <v>49.422400000000003</v>
      </c>
      <c r="P7">
        <v>41.556100000000001</v>
      </c>
      <c r="Q7">
        <v>9.5192999999999994</v>
      </c>
      <c r="R7">
        <v>69.494799999999998</v>
      </c>
      <c r="S7">
        <v>3.6473499999999999</v>
      </c>
      <c r="T7">
        <v>3.6176499999999998</v>
      </c>
      <c r="U7">
        <v>3.6176499999999998</v>
      </c>
      <c r="V7">
        <v>0</v>
      </c>
      <c r="W7">
        <v>7.26417</v>
      </c>
      <c r="X7">
        <v>7.4293800000000001</v>
      </c>
      <c r="Y7">
        <v>8.4944799999999994</v>
      </c>
      <c r="Z7">
        <v>2.1308199999999999</v>
      </c>
      <c r="AA7">
        <v>0</v>
      </c>
      <c r="AB7">
        <v>0</v>
      </c>
      <c r="AC7">
        <v>0</v>
      </c>
    </row>
    <row r="8" spans="1:29" x14ac:dyDescent="0.2">
      <c r="A8">
        <v>3</v>
      </c>
      <c r="B8">
        <v>6</v>
      </c>
      <c r="C8" s="17">
        <v>9.8882899999999991E-7</v>
      </c>
      <c r="D8" s="17">
        <v>1.0432100000000001E-6</v>
      </c>
      <c r="E8" s="17">
        <v>1.04741E-6</v>
      </c>
      <c r="F8" s="17">
        <v>2.2919700000000001E-7</v>
      </c>
      <c r="G8">
        <v>39.142000000000003</v>
      </c>
      <c r="H8">
        <v>39.0505</v>
      </c>
      <c r="I8">
        <v>39.0505</v>
      </c>
      <c r="J8">
        <v>0</v>
      </c>
      <c r="K8">
        <v>68772</v>
      </c>
      <c r="L8">
        <v>65611.3</v>
      </c>
      <c r="M8">
        <v>60862.400000000001</v>
      </c>
      <c r="N8">
        <v>26515.8</v>
      </c>
      <c r="O8">
        <v>13.3674</v>
      </c>
      <c r="P8">
        <v>13.537699999999999</v>
      </c>
      <c r="Q8">
        <v>10.856199999999999</v>
      </c>
      <c r="R8">
        <v>20.555199999999999</v>
      </c>
      <c r="S8">
        <v>3.6473499999999999</v>
      </c>
      <c r="T8">
        <v>3.6176499999999998</v>
      </c>
      <c r="U8">
        <v>3.6176499999999998</v>
      </c>
      <c r="V8">
        <v>0</v>
      </c>
      <c r="W8">
        <v>1.47349</v>
      </c>
      <c r="X8">
        <v>1.6079399999999999</v>
      </c>
      <c r="Y8">
        <v>1.6569199999999999</v>
      </c>
      <c r="Z8">
        <v>0.628718</v>
      </c>
      <c r="AA8">
        <v>0</v>
      </c>
      <c r="AB8">
        <v>0</v>
      </c>
      <c r="AC8">
        <v>0</v>
      </c>
    </row>
    <row r="9" spans="1:29" x14ac:dyDescent="0.2">
      <c r="A9">
        <v>3</v>
      </c>
      <c r="B9">
        <v>7</v>
      </c>
      <c r="C9" s="17">
        <v>1.0599499999999999E-6</v>
      </c>
      <c r="D9" s="17">
        <v>9.5461200000000005E-7</v>
      </c>
      <c r="E9" s="17">
        <v>9.2704400000000003E-7</v>
      </c>
      <c r="F9" s="17">
        <v>2.1769599999999999E-7</v>
      </c>
      <c r="G9">
        <v>39.142000000000003</v>
      </c>
      <c r="H9">
        <v>39.0505</v>
      </c>
      <c r="I9">
        <v>39.0505</v>
      </c>
      <c r="J9">
        <v>0</v>
      </c>
      <c r="K9">
        <v>76789.399999999994</v>
      </c>
      <c r="L9">
        <v>73361.2</v>
      </c>
      <c r="M9">
        <v>62625.4</v>
      </c>
      <c r="N9">
        <v>37206.1</v>
      </c>
      <c r="O9">
        <v>0.53724899999999998</v>
      </c>
      <c r="P9">
        <v>0.47053</v>
      </c>
      <c r="Q9">
        <v>8.23792E-2</v>
      </c>
      <c r="R9">
        <v>1.5730900000000001</v>
      </c>
      <c r="S9">
        <v>3.6473499999999999</v>
      </c>
      <c r="T9">
        <v>3.6176499999999998</v>
      </c>
      <c r="U9">
        <v>3.6176499999999998</v>
      </c>
      <c r="V9">
        <v>0</v>
      </c>
      <c r="W9">
        <v>12.5471</v>
      </c>
      <c r="X9">
        <v>11.212199999999999</v>
      </c>
      <c r="Y9">
        <v>11.722</v>
      </c>
      <c r="Z9">
        <v>2.8180100000000001</v>
      </c>
      <c r="AA9">
        <v>0</v>
      </c>
      <c r="AB9">
        <v>0</v>
      </c>
      <c r="AC9">
        <v>0</v>
      </c>
    </row>
    <row r="10" spans="1:29" x14ac:dyDescent="0.2">
      <c r="A10">
        <v>3</v>
      </c>
      <c r="B10">
        <v>8</v>
      </c>
      <c r="C10" s="17">
        <v>9.7185399999999996E-7</v>
      </c>
      <c r="D10" s="17">
        <v>9.7216500000000008E-7</v>
      </c>
      <c r="E10" s="17">
        <v>9.6591599999999995E-7</v>
      </c>
      <c r="F10" s="17">
        <v>1.95595E-7</v>
      </c>
      <c r="G10">
        <v>39.142000000000003</v>
      </c>
      <c r="H10">
        <v>39.0505</v>
      </c>
      <c r="I10">
        <v>39.0505</v>
      </c>
      <c r="J10">
        <v>0</v>
      </c>
      <c r="K10">
        <v>49776.6</v>
      </c>
      <c r="L10">
        <v>53337.9</v>
      </c>
      <c r="M10">
        <v>47472.800000000003</v>
      </c>
      <c r="N10">
        <v>21003.4</v>
      </c>
      <c r="O10">
        <v>3.8993699999999998</v>
      </c>
      <c r="P10">
        <v>3.57958</v>
      </c>
      <c r="Q10">
        <v>0.89223699999999995</v>
      </c>
      <c r="R10">
        <v>8.5754000000000001</v>
      </c>
      <c r="S10">
        <v>3.6473499999999999</v>
      </c>
      <c r="T10">
        <v>3.6176499999999998</v>
      </c>
      <c r="U10">
        <v>3.6176499999999998</v>
      </c>
      <c r="V10">
        <v>0</v>
      </c>
      <c r="W10">
        <v>4.19292</v>
      </c>
      <c r="X10">
        <v>4.1528400000000003</v>
      </c>
      <c r="Y10">
        <v>4.33169</v>
      </c>
      <c r="Z10">
        <v>1.2936000000000001</v>
      </c>
      <c r="AA10">
        <v>0</v>
      </c>
      <c r="AB10">
        <v>0</v>
      </c>
      <c r="AC10">
        <v>0</v>
      </c>
    </row>
    <row r="11" spans="1:29" x14ac:dyDescent="0.2">
      <c r="A11">
        <v>3</v>
      </c>
      <c r="B11">
        <v>9</v>
      </c>
      <c r="C11" s="17">
        <v>1.0672600000000001E-6</v>
      </c>
      <c r="D11" s="17">
        <v>1.07795E-6</v>
      </c>
      <c r="E11" s="17">
        <v>1.04428E-6</v>
      </c>
      <c r="F11" s="17">
        <v>1.8764300000000001E-7</v>
      </c>
      <c r="G11">
        <v>39.142000000000003</v>
      </c>
      <c r="H11">
        <v>39.0505</v>
      </c>
      <c r="I11">
        <v>39.0505</v>
      </c>
      <c r="J11">
        <v>0</v>
      </c>
      <c r="K11">
        <v>68766.2</v>
      </c>
      <c r="L11">
        <v>65162.2</v>
      </c>
      <c r="M11">
        <v>59353</v>
      </c>
      <c r="N11">
        <v>25769.9</v>
      </c>
      <c r="O11">
        <v>18.516400000000001</v>
      </c>
      <c r="P11">
        <v>17.355399999999999</v>
      </c>
      <c r="Q11">
        <v>10.001300000000001</v>
      </c>
      <c r="R11">
        <v>25.5501</v>
      </c>
      <c r="S11">
        <v>3.6473499999999999</v>
      </c>
      <c r="T11">
        <v>3.6176499999999998</v>
      </c>
      <c r="U11">
        <v>3.6176499999999998</v>
      </c>
      <c r="V11">
        <v>0</v>
      </c>
      <c r="W11">
        <v>2.5777700000000001</v>
      </c>
      <c r="X11">
        <v>2.6193399999999998</v>
      </c>
      <c r="Y11">
        <v>2.6133000000000002</v>
      </c>
      <c r="Z11">
        <v>0.809388</v>
      </c>
      <c r="AA11">
        <v>0</v>
      </c>
      <c r="AB11">
        <v>0</v>
      </c>
      <c r="AC11">
        <v>0</v>
      </c>
    </row>
    <row r="12" spans="1:29" x14ac:dyDescent="0.2">
      <c r="A12">
        <v>3</v>
      </c>
      <c r="B12">
        <v>10</v>
      </c>
      <c r="C12" s="17">
        <v>9.7495700000000007E-7</v>
      </c>
      <c r="D12" s="17">
        <v>9.9570000000000006E-7</v>
      </c>
      <c r="E12" s="17">
        <v>9.6604499999999991E-7</v>
      </c>
      <c r="F12" s="17">
        <v>2.14063E-7</v>
      </c>
      <c r="G12">
        <v>39.142000000000003</v>
      </c>
      <c r="H12">
        <v>39.0505</v>
      </c>
      <c r="I12">
        <v>39.0505</v>
      </c>
      <c r="J12">
        <v>0</v>
      </c>
      <c r="K12">
        <v>59354.8</v>
      </c>
      <c r="L12">
        <v>54733.5</v>
      </c>
      <c r="M12">
        <v>54064</v>
      </c>
      <c r="N12">
        <v>20798</v>
      </c>
      <c r="O12">
        <v>4.6788400000000001</v>
      </c>
      <c r="P12">
        <v>4.0792599999999997</v>
      </c>
      <c r="Q12">
        <v>3.1162800000000002</v>
      </c>
      <c r="R12">
        <v>6.8472400000000002</v>
      </c>
      <c r="S12">
        <v>3.6473499999999999</v>
      </c>
      <c r="T12">
        <v>3.6176499999999998</v>
      </c>
      <c r="U12">
        <v>3.6176499999999998</v>
      </c>
      <c r="V12">
        <v>0</v>
      </c>
      <c r="W12">
        <v>1.7289300000000001</v>
      </c>
      <c r="X12">
        <v>1.77318</v>
      </c>
      <c r="Y12">
        <v>1.7226300000000001</v>
      </c>
      <c r="Z12">
        <v>0.62515299999999996</v>
      </c>
      <c r="AA12">
        <v>0</v>
      </c>
      <c r="AB12">
        <v>0</v>
      </c>
      <c r="AC12">
        <v>0</v>
      </c>
    </row>
    <row r="13" spans="1:29" x14ac:dyDescent="0.2">
      <c r="A13">
        <v>3</v>
      </c>
      <c r="B13">
        <v>11</v>
      </c>
      <c r="C13" s="17">
        <v>1.0543800000000001E-6</v>
      </c>
      <c r="D13" s="17">
        <v>1.01381E-6</v>
      </c>
      <c r="E13" s="17">
        <v>9.5548999999999994E-7</v>
      </c>
      <c r="F13" s="17">
        <v>2.1185499999999999E-7</v>
      </c>
      <c r="G13">
        <v>39.142000000000003</v>
      </c>
      <c r="H13">
        <v>39.0505</v>
      </c>
      <c r="I13">
        <v>39.0505</v>
      </c>
      <c r="J13">
        <v>0</v>
      </c>
      <c r="K13">
        <v>142826</v>
      </c>
      <c r="L13">
        <v>125276</v>
      </c>
      <c r="M13">
        <v>113546</v>
      </c>
      <c r="N13">
        <v>63206.400000000001</v>
      </c>
      <c r="O13">
        <v>0.12954599999999999</v>
      </c>
      <c r="P13">
        <v>8.3477700000000002E-2</v>
      </c>
      <c r="Q13">
        <v>1.6612100000000001E-2</v>
      </c>
      <c r="R13">
        <v>0.41118700000000002</v>
      </c>
      <c r="S13">
        <v>3.6473499999999999</v>
      </c>
      <c r="T13">
        <v>3.6176499999999998</v>
      </c>
      <c r="U13">
        <v>3.6176499999999998</v>
      </c>
      <c r="V13">
        <v>0</v>
      </c>
      <c r="W13">
        <v>12.3545</v>
      </c>
      <c r="X13">
        <v>12.005100000000001</v>
      </c>
      <c r="Y13">
        <v>12.0405</v>
      </c>
      <c r="Z13">
        <v>2.6543800000000002</v>
      </c>
      <c r="AA13">
        <v>0</v>
      </c>
      <c r="AB13">
        <v>0</v>
      </c>
      <c r="AC13">
        <v>0</v>
      </c>
    </row>
    <row r="14" spans="1:29" x14ac:dyDescent="0.2">
      <c r="A14">
        <v>3</v>
      </c>
      <c r="B14">
        <v>12</v>
      </c>
      <c r="C14" s="17">
        <v>1.0457E-6</v>
      </c>
      <c r="D14" s="17">
        <v>1.07756E-6</v>
      </c>
      <c r="E14" s="17">
        <v>1.0519799999999999E-6</v>
      </c>
      <c r="F14" s="17">
        <v>2.2338999999999999E-7</v>
      </c>
      <c r="G14">
        <v>39.142000000000003</v>
      </c>
      <c r="H14">
        <v>39.0505</v>
      </c>
      <c r="I14">
        <v>39.0505</v>
      </c>
      <c r="J14">
        <v>0</v>
      </c>
      <c r="K14">
        <v>135315</v>
      </c>
      <c r="L14">
        <v>123847</v>
      </c>
      <c r="M14">
        <v>108730</v>
      </c>
      <c r="N14">
        <v>66736.3</v>
      </c>
      <c r="O14">
        <v>432.08699999999999</v>
      </c>
      <c r="P14">
        <v>416.50200000000001</v>
      </c>
      <c r="Q14">
        <v>332.31200000000001</v>
      </c>
      <c r="R14">
        <v>413.84699999999998</v>
      </c>
      <c r="S14">
        <v>3.6473499999999999</v>
      </c>
      <c r="T14">
        <v>3.6176499999999998</v>
      </c>
      <c r="U14">
        <v>3.6176499999999998</v>
      </c>
      <c r="V14">
        <v>0</v>
      </c>
      <c r="W14">
        <v>2.57586</v>
      </c>
      <c r="X14">
        <v>2.7125900000000001</v>
      </c>
      <c r="Y14">
        <v>2.6290300000000002</v>
      </c>
      <c r="Z14">
        <v>0.95651900000000001</v>
      </c>
      <c r="AA14">
        <v>1</v>
      </c>
      <c r="AB14">
        <v>0</v>
      </c>
      <c r="AC14">
        <v>0</v>
      </c>
    </row>
    <row r="15" spans="1:29" x14ac:dyDescent="0.2">
      <c r="A15">
        <v>3</v>
      </c>
      <c r="B15">
        <v>13</v>
      </c>
      <c r="C15" s="17">
        <v>1.0004599999999999E-6</v>
      </c>
      <c r="D15" s="17">
        <v>9.8001599999999995E-7</v>
      </c>
      <c r="E15" s="17">
        <v>9.4813200000000001E-7</v>
      </c>
      <c r="F15" s="17">
        <v>2.3601899999999999E-7</v>
      </c>
      <c r="G15">
        <v>39.142000000000003</v>
      </c>
      <c r="H15">
        <v>39.0505</v>
      </c>
      <c r="I15">
        <v>39.0505</v>
      </c>
      <c r="J15">
        <v>0</v>
      </c>
      <c r="K15">
        <v>86155.9</v>
      </c>
      <c r="L15">
        <v>84123.6</v>
      </c>
      <c r="M15">
        <v>76700.800000000003</v>
      </c>
      <c r="N15">
        <v>57305.1</v>
      </c>
      <c r="O15">
        <v>1917.25</v>
      </c>
      <c r="P15">
        <v>1773.75</v>
      </c>
      <c r="Q15">
        <v>1267.0899999999999</v>
      </c>
      <c r="R15">
        <v>1906.5</v>
      </c>
      <c r="S15">
        <v>3.6473499999999999</v>
      </c>
      <c r="T15">
        <v>3.6176499999999998</v>
      </c>
      <c r="U15">
        <v>3.6176499999999998</v>
      </c>
      <c r="V15">
        <v>0</v>
      </c>
      <c r="W15">
        <v>6.3904699999999997</v>
      </c>
      <c r="X15">
        <v>5.9672299999999998</v>
      </c>
      <c r="Y15">
        <v>6.4189699999999998</v>
      </c>
      <c r="Z15">
        <v>2.4733200000000002</v>
      </c>
      <c r="AA15">
        <v>1</v>
      </c>
      <c r="AB15">
        <v>0</v>
      </c>
      <c r="AC15">
        <v>0</v>
      </c>
    </row>
    <row r="16" spans="1:29" x14ac:dyDescent="0.2">
      <c r="A16">
        <v>3</v>
      </c>
      <c r="B16">
        <v>14</v>
      </c>
      <c r="C16" s="17">
        <v>1.0932E-6</v>
      </c>
      <c r="D16" s="17">
        <v>1.0845E-6</v>
      </c>
      <c r="E16" s="17">
        <v>1.0699300000000001E-6</v>
      </c>
      <c r="F16" s="17">
        <v>2.24025E-7</v>
      </c>
      <c r="G16">
        <v>39.142000000000003</v>
      </c>
      <c r="H16">
        <v>39.0505</v>
      </c>
      <c r="I16">
        <v>39.0505</v>
      </c>
      <c r="J16">
        <v>0</v>
      </c>
      <c r="K16">
        <v>79571.8</v>
      </c>
      <c r="L16">
        <v>83231.3</v>
      </c>
      <c r="M16">
        <v>68178.5</v>
      </c>
      <c r="N16">
        <v>45339.5</v>
      </c>
      <c r="O16">
        <v>113.81</v>
      </c>
      <c r="P16">
        <v>134.54</v>
      </c>
      <c r="Q16">
        <v>77.068200000000004</v>
      </c>
      <c r="R16">
        <v>161.47200000000001</v>
      </c>
      <c r="S16">
        <v>3.6473499999999999</v>
      </c>
      <c r="T16">
        <v>3.6176499999999998</v>
      </c>
      <c r="U16">
        <v>3.6176499999999998</v>
      </c>
      <c r="V16">
        <v>0</v>
      </c>
      <c r="W16">
        <v>2.6479200000000001</v>
      </c>
      <c r="X16">
        <v>2.6346099999999999</v>
      </c>
      <c r="Y16">
        <v>2.59755</v>
      </c>
      <c r="Z16">
        <v>0.87171100000000001</v>
      </c>
      <c r="AA16">
        <v>1</v>
      </c>
      <c r="AB16">
        <v>0</v>
      </c>
      <c r="AC16">
        <v>0</v>
      </c>
    </row>
    <row r="17" spans="1:29" x14ac:dyDescent="0.2">
      <c r="A17">
        <v>3</v>
      </c>
      <c r="B17">
        <v>15</v>
      </c>
      <c r="C17" s="17">
        <v>1.1814799999999999E-6</v>
      </c>
      <c r="D17" s="17">
        <v>1.07627E-6</v>
      </c>
      <c r="E17" s="17">
        <v>1.1040200000000001E-6</v>
      </c>
      <c r="F17" s="17">
        <v>2.1107E-7</v>
      </c>
      <c r="G17">
        <v>39.142000000000003</v>
      </c>
      <c r="H17">
        <v>39.0505</v>
      </c>
      <c r="I17">
        <v>39.0505</v>
      </c>
      <c r="J17">
        <v>0</v>
      </c>
      <c r="K17">
        <v>66252.100000000006</v>
      </c>
      <c r="L17">
        <v>73202.600000000006</v>
      </c>
      <c r="M17">
        <v>57416.5</v>
      </c>
      <c r="N17">
        <v>44534.9</v>
      </c>
      <c r="O17">
        <v>210.56</v>
      </c>
      <c r="P17">
        <v>249.08099999999999</v>
      </c>
      <c r="Q17">
        <v>136.506</v>
      </c>
      <c r="R17">
        <v>292.35599999999999</v>
      </c>
      <c r="S17">
        <v>3.6473499999999999</v>
      </c>
      <c r="T17">
        <v>3.6176499999999998</v>
      </c>
      <c r="U17">
        <v>3.6176499999999998</v>
      </c>
      <c r="V17">
        <v>0</v>
      </c>
      <c r="W17">
        <v>1.8853599999999999</v>
      </c>
      <c r="X17">
        <v>1.5685899999999999</v>
      </c>
      <c r="Y17">
        <v>1.7645200000000001</v>
      </c>
      <c r="Z17">
        <v>0.57308199999999998</v>
      </c>
      <c r="AA17">
        <v>1</v>
      </c>
      <c r="AB17">
        <v>0</v>
      </c>
      <c r="AC17">
        <v>0</v>
      </c>
    </row>
    <row r="18" spans="1:29" x14ac:dyDescent="0.2">
      <c r="A18">
        <v>3</v>
      </c>
      <c r="B18">
        <v>16</v>
      </c>
      <c r="C18" s="17">
        <v>9.700259999999999E-7</v>
      </c>
      <c r="D18" s="17">
        <v>9.39187E-7</v>
      </c>
      <c r="E18" s="17">
        <v>9.1411999999999998E-7</v>
      </c>
      <c r="F18" s="17">
        <v>2.10583E-7</v>
      </c>
      <c r="G18">
        <v>39.142000000000003</v>
      </c>
      <c r="H18">
        <v>39.0505</v>
      </c>
      <c r="I18">
        <v>39.0505</v>
      </c>
      <c r="J18">
        <v>0</v>
      </c>
      <c r="K18">
        <v>103200</v>
      </c>
      <c r="L18">
        <v>94288.4</v>
      </c>
      <c r="M18">
        <v>79330.100000000006</v>
      </c>
      <c r="N18">
        <v>55915.8</v>
      </c>
      <c r="O18">
        <v>2975.15</v>
      </c>
      <c r="P18">
        <v>2556.36</v>
      </c>
      <c r="Q18">
        <v>1825.49</v>
      </c>
      <c r="R18">
        <v>2347.19</v>
      </c>
      <c r="S18">
        <v>3.6473499999999999</v>
      </c>
      <c r="T18">
        <v>3.6176499999999998</v>
      </c>
      <c r="U18">
        <v>3.6176499999999998</v>
      </c>
      <c r="V18">
        <v>0</v>
      </c>
      <c r="W18">
        <v>10.5428</v>
      </c>
      <c r="X18">
        <v>10.647399999999999</v>
      </c>
      <c r="Y18">
        <v>10.2849</v>
      </c>
      <c r="Z18">
        <v>5.1598300000000004</v>
      </c>
      <c r="AA18">
        <v>1</v>
      </c>
      <c r="AB18">
        <v>0</v>
      </c>
      <c r="AC18">
        <v>0</v>
      </c>
    </row>
    <row r="19" spans="1:29" x14ac:dyDescent="0.2">
      <c r="A19">
        <v>3</v>
      </c>
      <c r="B19">
        <v>17</v>
      </c>
      <c r="C19" s="17">
        <v>1.0088E-6</v>
      </c>
      <c r="D19" s="17">
        <v>9.34208E-7</v>
      </c>
      <c r="E19" s="17">
        <v>9.4675500000000001E-7</v>
      </c>
      <c r="F19" s="17">
        <v>2.28136E-7</v>
      </c>
      <c r="G19">
        <v>39.142000000000003</v>
      </c>
      <c r="H19">
        <v>39.0505</v>
      </c>
      <c r="I19">
        <v>39.0505</v>
      </c>
      <c r="J19">
        <v>0</v>
      </c>
      <c r="K19">
        <v>72996.2</v>
      </c>
      <c r="L19">
        <v>73514</v>
      </c>
      <c r="M19">
        <v>63234.9</v>
      </c>
      <c r="N19">
        <v>49217.7</v>
      </c>
      <c r="O19">
        <v>1837.68</v>
      </c>
      <c r="P19">
        <v>1781.51</v>
      </c>
      <c r="Q19">
        <v>1245.46</v>
      </c>
      <c r="R19">
        <v>2165.33</v>
      </c>
      <c r="S19">
        <v>3.6473499999999999</v>
      </c>
      <c r="T19">
        <v>3.6176499999999998</v>
      </c>
      <c r="U19">
        <v>3.6176499999999998</v>
      </c>
      <c r="V19">
        <v>0</v>
      </c>
      <c r="W19">
        <v>6.7368199999999998</v>
      </c>
      <c r="X19">
        <v>6.1308800000000003</v>
      </c>
      <c r="Y19">
        <v>6.4002100000000004</v>
      </c>
      <c r="Z19">
        <v>2.6528299999999998</v>
      </c>
      <c r="AA19">
        <v>1</v>
      </c>
      <c r="AB19">
        <v>0</v>
      </c>
      <c r="AC19">
        <v>0</v>
      </c>
    </row>
    <row r="20" spans="1:29" x14ac:dyDescent="0.2">
      <c r="A20">
        <v>3</v>
      </c>
      <c r="B20">
        <v>18</v>
      </c>
      <c r="C20" s="17">
        <v>1.0330999999999999E-6</v>
      </c>
      <c r="D20" s="17">
        <v>9.7524900000000008E-7</v>
      </c>
      <c r="E20" s="17">
        <v>9.7401900000000001E-7</v>
      </c>
      <c r="F20" s="17">
        <v>2.3674399999999999E-7</v>
      </c>
      <c r="G20">
        <v>39.142000000000003</v>
      </c>
      <c r="H20">
        <v>39.0505</v>
      </c>
      <c r="I20">
        <v>39.0505</v>
      </c>
      <c r="J20">
        <v>0</v>
      </c>
      <c r="K20">
        <v>71959.3</v>
      </c>
      <c r="L20">
        <v>74604.899999999994</v>
      </c>
      <c r="M20">
        <v>62681.4</v>
      </c>
      <c r="N20">
        <v>54516.1</v>
      </c>
      <c r="O20">
        <v>193942</v>
      </c>
      <c r="P20">
        <v>330890</v>
      </c>
      <c r="Q20">
        <v>26601.1</v>
      </c>
      <c r="R20">
        <v>2192180</v>
      </c>
      <c r="S20">
        <v>3.6473499999999999</v>
      </c>
      <c r="T20">
        <v>3.6176499999999998</v>
      </c>
      <c r="U20">
        <v>3.6176499999999998</v>
      </c>
      <c r="V20">
        <v>0</v>
      </c>
      <c r="W20">
        <v>4.9073599999999997</v>
      </c>
      <c r="X20">
        <v>5.5030200000000002</v>
      </c>
      <c r="Y20">
        <v>3.27373</v>
      </c>
      <c r="Z20">
        <v>7.49878</v>
      </c>
      <c r="AA20">
        <v>1</v>
      </c>
      <c r="AB20">
        <v>0</v>
      </c>
      <c r="AC20">
        <v>0</v>
      </c>
    </row>
    <row r="21" spans="1:29" x14ac:dyDescent="0.2">
      <c r="A21">
        <v>3</v>
      </c>
      <c r="B21">
        <v>19</v>
      </c>
      <c r="C21" s="17">
        <v>1.0981699999999999E-6</v>
      </c>
      <c r="D21" s="17">
        <v>1.0423899999999999E-6</v>
      </c>
      <c r="E21" s="17">
        <v>1.0764800000000001E-6</v>
      </c>
      <c r="F21" s="17">
        <v>2.0669699999999999E-7</v>
      </c>
      <c r="G21">
        <v>39.142000000000003</v>
      </c>
      <c r="H21">
        <v>39.0505</v>
      </c>
      <c r="I21">
        <v>39.0505</v>
      </c>
      <c r="J21">
        <v>0</v>
      </c>
      <c r="K21">
        <v>56037.5</v>
      </c>
      <c r="L21">
        <v>52118.9</v>
      </c>
      <c r="M21">
        <v>48954.1</v>
      </c>
      <c r="N21">
        <v>20720.900000000001</v>
      </c>
      <c r="O21">
        <v>17.715699999999998</v>
      </c>
      <c r="P21">
        <v>17.707599999999999</v>
      </c>
      <c r="Q21">
        <v>10.952199999999999</v>
      </c>
      <c r="R21">
        <v>28.688500000000001</v>
      </c>
      <c r="S21">
        <v>3.6473499999999999</v>
      </c>
      <c r="T21">
        <v>3.6176499999999998</v>
      </c>
      <c r="U21">
        <v>3.6176499999999998</v>
      </c>
      <c r="V21">
        <v>0</v>
      </c>
      <c r="W21">
        <v>1.65594</v>
      </c>
      <c r="X21">
        <v>1.4710700000000001</v>
      </c>
      <c r="Y21">
        <v>1.63287</v>
      </c>
      <c r="Z21">
        <v>0.56154599999999999</v>
      </c>
      <c r="AA21">
        <v>1</v>
      </c>
      <c r="AB21">
        <v>0</v>
      </c>
      <c r="AC21">
        <v>0</v>
      </c>
    </row>
    <row r="22" spans="1:29" x14ac:dyDescent="0.2">
      <c r="A22">
        <v>3</v>
      </c>
      <c r="B22">
        <v>20</v>
      </c>
      <c r="C22" s="17">
        <v>1.14799E-6</v>
      </c>
      <c r="D22" s="17">
        <v>1.0051900000000001E-6</v>
      </c>
      <c r="E22" s="17">
        <v>1.06096E-6</v>
      </c>
      <c r="F22" s="17">
        <v>2.1736200000000001E-7</v>
      </c>
      <c r="G22">
        <v>39.142000000000003</v>
      </c>
      <c r="H22">
        <v>39.0505</v>
      </c>
      <c r="I22">
        <v>39.0505</v>
      </c>
      <c r="J22">
        <v>0</v>
      </c>
      <c r="K22">
        <v>172960</v>
      </c>
      <c r="L22">
        <v>165454</v>
      </c>
      <c r="M22">
        <v>148950</v>
      </c>
      <c r="N22">
        <v>68420.2</v>
      </c>
      <c r="O22">
        <v>18.312200000000001</v>
      </c>
      <c r="P22">
        <v>13.630599999999999</v>
      </c>
      <c r="Q22">
        <v>8.4717900000000004</v>
      </c>
      <c r="R22">
        <v>21.878299999999999</v>
      </c>
      <c r="S22">
        <v>3.6473499999999999</v>
      </c>
      <c r="T22">
        <v>3.6176499999999998</v>
      </c>
      <c r="U22">
        <v>3.6176499999999998</v>
      </c>
      <c r="V22">
        <v>0</v>
      </c>
      <c r="W22">
        <v>1.98072</v>
      </c>
      <c r="X22">
        <v>1.56559</v>
      </c>
      <c r="Y22">
        <v>1.7598100000000001</v>
      </c>
      <c r="Z22">
        <v>0.641706</v>
      </c>
      <c r="AA22">
        <v>1</v>
      </c>
      <c r="AB22">
        <v>0</v>
      </c>
      <c r="AC22">
        <v>0</v>
      </c>
    </row>
    <row r="23" spans="1:29" x14ac:dyDescent="0.2">
      <c r="A23">
        <v>3</v>
      </c>
      <c r="B23">
        <v>21</v>
      </c>
      <c r="C23" s="17">
        <v>1.13722E-6</v>
      </c>
      <c r="D23" s="17">
        <v>1.1025199999999999E-6</v>
      </c>
      <c r="E23" s="17">
        <v>1.10378E-6</v>
      </c>
      <c r="F23" s="17">
        <v>1.8916499999999999E-7</v>
      </c>
      <c r="G23">
        <v>39.142000000000003</v>
      </c>
      <c r="H23">
        <v>39.0505</v>
      </c>
      <c r="I23">
        <v>39.0505</v>
      </c>
      <c r="J23">
        <v>0</v>
      </c>
      <c r="K23">
        <v>151819</v>
      </c>
      <c r="L23">
        <v>141134</v>
      </c>
      <c r="M23">
        <v>121654</v>
      </c>
      <c r="N23">
        <v>62331</v>
      </c>
      <c r="O23">
        <v>4.1953199999999997</v>
      </c>
      <c r="P23">
        <v>5.1640199999999998</v>
      </c>
      <c r="Q23">
        <v>0.465951</v>
      </c>
      <c r="R23">
        <v>11.3531</v>
      </c>
      <c r="S23">
        <v>3.6473499999999999</v>
      </c>
      <c r="T23">
        <v>3.6176499999999998</v>
      </c>
      <c r="U23">
        <v>3.6176499999999998</v>
      </c>
      <c r="V23">
        <v>0</v>
      </c>
      <c r="W23">
        <v>2.8433700000000002</v>
      </c>
      <c r="X23">
        <v>2.7182200000000001</v>
      </c>
      <c r="Y23">
        <v>2.8461699999999999</v>
      </c>
      <c r="Z23">
        <v>0.84304599999999996</v>
      </c>
      <c r="AA23">
        <v>1</v>
      </c>
      <c r="AB23">
        <v>0</v>
      </c>
      <c r="AC23">
        <v>0</v>
      </c>
    </row>
    <row r="24" spans="1:29" x14ac:dyDescent="0.2">
      <c r="A24">
        <v>3</v>
      </c>
      <c r="B24">
        <v>22</v>
      </c>
      <c r="C24" s="17">
        <v>1.0550700000000001E-6</v>
      </c>
      <c r="D24" s="17">
        <v>9.9848500000000006E-7</v>
      </c>
      <c r="E24" s="17">
        <v>9.9247700000000003E-7</v>
      </c>
      <c r="F24" s="17">
        <v>2.2211900000000001E-7</v>
      </c>
      <c r="G24">
        <v>39.142000000000003</v>
      </c>
      <c r="H24">
        <v>39.0505</v>
      </c>
      <c r="I24">
        <v>39.0505</v>
      </c>
      <c r="J24">
        <v>0</v>
      </c>
      <c r="K24">
        <v>73943.199999999997</v>
      </c>
      <c r="L24">
        <v>78639.100000000006</v>
      </c>
      <c r="M24">
        <v>67891.7</v>
      </c>
      <c r="N24">
        <v>53695.199999999997</v>
      </c>
      <c r="O24">
        <v>1201.18</v>
      </c>
      <c r="P24">
        <v>1390.55</v>
      </c>
      <c r="Q24">
        <v>953.49300000000005</v>
      </c>
      <c r="R24">
        <v>1591.26</v>
      </c>
      <c r="S24">
        <v>3.6473499999999999</v>
      </c>
      <c r="T24">
        <v>3.6176499999999998</v>
      </c>
      <c r="U24">
        <v>3.6176499999999998</v>
      </c>
      <c r="V24">
        <v>0</v>
      </c>
      <c r="W24">
        <v>4.4127099999999997</v>
      </c>
      <c r="X24">
        <v>3.9412699999999998</v>
      </c>
      <c r="Y24">
        <v>4.4585499999999998</v>
      </c>
      <c r="Z24">
        <v>1.5534600000000001</v>
      </c>
      <c r="AA24">
        <v>1</v>
      </c>
      <c r="AB24">
        <v>0</v>
      </c>
      <c r="AC24">
        <v>0</v>
      </c>
    </row>
    <row r="25" spans="1:29" x14ac:dyDescent="0.2">
      <c r="A25">
        <v>3</v>
      </c>
      <c r="B25">
        <v>23</v>
      </c>
      <c r="C25" s="17">
        <v>4.6440299999999998E-7</v>
      </c>
      <c r="D25" s="17">
        <v>4.8246299999999997E-7</v>
      </c>
      <c r="E25" s="17">
        <v>4.6723700000000002E-7</v>
      </c>
      <c r="F25" s="17">
        <v>9.1984300000000001E-8</v>
      </c>
      <c r="G25">
        <v>39.142000000000003</v>
      </c>
      <c r="H25">
        <v>39.0505</v>
      </c>
      <c r="I25">
        <v>39.0505</v>
      </c>
      <c r="J25">
        <v>0</v>
      </c>
      <c r="K25">
        <v>7299.87</v>
      </c>
      <c r="L25">
        <v>8373.9</v>
      </c>
      <c r="M25">
        <v>5366.99</v>
      </c>
      <c r="N25">
        <v>6077.33</v>
      </c>
      <c r="O25">
        <v>65.281700000000001</v>
      </c>
      <c r="P25">
        <v>73.580500000000001</v>
      </c>
      <c r="Q25">
        <v>14.652699999999999</v>
      </c>
      <c r="R25">
        <v>121.17700000000001</v>
      </c>
      <c r="S25">
        <v>3.6473499999999999</v>
      </c>
      <c r="T25">
        <v>3.6176499999999998</v>
      </c>
      <c r="U25">
        <v>3.6176499999999998</v>
      </c>
      <c r="V25">
        <v>0</v>
      </c>
      <c r="W25">
        <v>3.25339</v>
      </c>
      <c r="X25">
        <v>3.48685</v>
      </c>
      <c r="Y25">
        <v>3.8524799999999999</v>
      </c>
      <c r="Z25">
        <v>1.91987</v>
      </c>
      <c r="AA25">
        <v>0</v>
      </c>
      <c r="AB25">
        <v>1</v>
      </c>
      <c r="AC25">
        <v>0</v>
      </c>
    </row>
    <row r="26" spans="1:29" x14ac:dyDescent="0.2">
      <c r="A26">
        <v>3</v>
      </c>
      <c r="B26">
        <v>24</v>
      </c>
      <c r="C26" s="17">
        <v>3.2999699999999999E-7</v>
      </c>
      <c r="D26" s="17">
        <v>3.4037000000000002E-7</v>
      </c>
      <c r="E26" s="17">
        <v>3.2182600000000001E-7</v>
      </c>
      <c r="F26" s="17">
        <v>4.8830799999999998E-8</v>
      </c>
      <c r="G26">
        <v>39.142000000000003</v>
      </c>
      <c r="H26">
        <v>39.0505</v>
      </c>
      <c r="I26">
        <v>39.0505</v>
      </c>
      <c r="J26">
        <v>0</v>
      </c>
      <c r="K26">
        <v>27834.6</v>
      </c>
      <c r="L26">
        <v>26657.7</v>
      </c>
      <c r="M26">
        <v>22404.799999999999</v>
      </c>
      <c r="N26">
        <v>12467.5</v>
      </c>
      <c r="O26">
        <v>1.7123900000000001</v>
      </c>
      <c r="P26">
        <v>2.8067000000000002</v>
      </c>
      <c r="Q26">
        <v>1.2446199999999999E-2</v>
      </c>
      <c r="R26">
        <v>9.5373300000000008</v>
      </c>
      <c r="S26">
        <v>3.6473499999999999</v>
      </c>
      <c r="T26">
        <v>3.6176499999999998</v>
      </c>
      <c r="U26">
        <v>3.6176499999999998</v>
      </c>
      <c r="V26">
        <v>0</v>
      </c>
      <c r="W26">
        <v>1.0822499999999999</v>
      </c>
      <c r="X26">
        <v>1.25054</v>
      </c>
      <c r="Y26">
        <v>1.0443800000000001</v>
      </c>
      <c r="Z26">
        <v>0.82575600000000005</v>
      </c>
      <c r="AA26">
        <v>0</v>
      </c>
      <c r="AB26">
        <v>1</v>
      </c>
      <c r="AC26">
        <v>0</v>
      </c>
    </row>
    <row r="27" spans="1:29" x14ac:dyDescent="0.2">
      <c r="A27">
        <v>3</v>
      </c>
      <c r="B27">
        <v>25</v>
      </c>
      <c r="C27" s="17">
        <v>4.25669E-7</v>
      </c>
      <c r="D27" s="17">
        <v>4.4452400000000002E-7</v>
      </c>
      <c r="E27" s="17">
        <v>4.25761E-7</v>
      </c>
      <c r="F27" s="17">
        <v>8.7472200000000002E-8</v>
      </c>
      <c r="G27">
        <v>39.142000000000003</v>
      </c>
      <c r="H27">
        <v>39.0505</v>
      </c>
      <c r="I27">
        <v>39.0505</v>
      </c>
      <c r="J27">
        <v>0</v>
      </c>
      <c r="K27">
        <v>18816.2</v>
      </c>
      <c r="L27">
        <v>18762.2</v>
      </c>
      <c r="M27">
        <v>17848.5</v>
      </c>
      <c r="N27">
        <v>8881.89</v>
      </c>
      <c r="O27">
        <v>1.9439</v>
      </c>
      <c r="P27">
        <v>1.9980800000000001</v>
      </c>
      <c r="Q27">
        <v>0.31740499999999999</v>
      </c>
      <c r="R27">
        <v>4.7138799999999996</v>
      </c>
      <c r="S27">
        <v>3.6473499999999999</v>
      </c>
      <c r="T27">
        <v>3.6176499999999998</v>
      </c>
      <c r="U27">
        <v>3.6176499999999998</v>
      </c>
      <c r="V27">
        <v>0</v>
      </c>
      <c r="W27">
        <v>6.1063099999999997</v>
      </c>
      <c r="X27">
        <v>6.7507599999999996</v>
      </c>
      <c r="Y27">
        <v>6.3979100000000004</v>
      </c>
      <c r="Z27">
        <v>3.1863000000000001</v>
      </c>
      <c r="AA27">
        <v>0</v>
      </c>
      <c r="AB27">
        <v>1</v>
      </c>
      <c r="AC27">
        <v>0</v>
      </c>
    </row>
    <row r="28" spans="1:29" x14ac:dyDescent="0.2">
      <c r="A28">
        <v>3</v>
      </c>
      <c r="B28">
        <v>26</v>
      </c>
      <c r="C28" s="17">
        <v>5.2280100000000002E-7</v>
      </c>
      <c r="D28" s="17">
        <v>5.04013E-7</v>
      </c>
      <c r="E28" s="17">
        <v>5.1168500000000002E-7</v>
      </c>
      <c r="F28" s="17">
        <v>7.5457600000000005E-8</v>
      </c>
      <c r="G28">
        <v>39.142000000000003</v>
      </c>
      <c r="H28">
        <v>39.0505</v>
      </c>
      <c r="I28">
        <v>39.0505</v>
      </c>
      <c r="J28">
        <v>0</v>
      </c>
      <c r="K28">
        <v>6412.22</v>
      </c>
      <c r="L28">
        <v>6809.92</v>
      </c>
      <c r="M28">
        <v>5842.5</v>
      </c>
      <c r="N28">
        <v>3072.07</v>
      </c>
      <c r="O28">
        <v>3.0007100000000002</v>
      </c>
      <c r="P28">
        <v>3.3852799999999998</v>
      </c>
      <c r="Q28">
        <v>1.01284</v>
      </c>
      <c r="R28">
        <v>8.6625700000000005</v>
      </c>
      <c r="S28">
        <v>3.6473499999999999</v>
      </c>
      <c r="T28">
        <v>3.6176499999999998</v>
      </c>
      <c r="U28">
        <v>3.6176499999999998</v>
      </c>
      <c r="V28">
        <v>0</v>
      </c>
      <c r="W28">
        <v>2.8169499999999998</v>
      </c>
      <c r="X28">
        <v>2.4540000000000002</v>
      </c>
      <c r="Y28">
        <v>2.83311</v>
      </c>
      <c r="Z28">
        <v>1.1821299999999999</v>
      </c>
      <c r="AA28">
        <v>0</v>
      </c>
      <c r="AB28">
        <v>1</v>
      </c>
      <c r="AC28">
        <v>0</v>
      </c>
    </row>
    <row r="29" spans="1:29" x14ac:dyDescent="0.2">
      <c r="A29">
        <v>3</v>
      </c>
      <c r="B29">
        <v>27</v>
      </c>
      <c r="C29" s="17">
        <v>4.48971E-7</v>
      </c>
      <c r="D29" s="17">
        <v>4.56784E-7</v>
      </c>
      <c r="E29" s="17">
        <v>4.1016499999999999E-7</v>
      </c>
      <c r="F29" s="17">
        <v>9.9937399999999999E-8</v>
      </c>
      <c r="G29">
        <v>39.142000000000003</v>
      </c>
      <c r="H29">
        <v>39.0505</v>
      </c>
      <c r="I29">
        <v>39.0505</v>
      </c>
      <c r="J29">
        <v>0</v>
      </c>
      <c r="K29">
        <v>8774.0499999999993</v>
      </c>
      <c r="L29">
        <v>8866.2199999999993</v>
      </c>
      <c r="M29">
        <v>7722.25</v>
      </c>
      <c r="N29">
        <v>5823.16</v>
      </c>
      <c r="O29">
        <v>337.52</v>
      </c>
      <c r="P29">
        <v>350.113</v>
      </c>
      <c r="Q29">
        <v>163.01400000000001</v>
      </c>
      <c r="R29">
        <v>484.512</v>
      </c>
      <c r="S29">
        <v>3.6473499999999999</v>
      </c>
      <c r="T29">
        <v>3.6176499999999998</v>
      </c>
      <c r="U29">
        <v>3.6176499999999998</v>
      </c>
      <c r="V29">
        <v>0</v>
      </c>
      <c r="W29">
        <v>3.32728</v>
      </c>
      <c r="X29">
        <v>3.2589299999999999</v>
      </c>
      <c r="Y29">
        <v>4.2722199999999999</v>
      </c>
      <c r="Z29">
        <v>1.9889699999999999</v>
      </c>
      <c r="AA29">
        <v>0</v>
      </c>
      <c r="AB29">
        <v>1</v>
      </c>
      <c r="AC29">
        <v>0</v>
      </c>
    </row>
    <row r="30" spans="1:29" x14ac:dyDescent="0.2">
      <c r="A30">
        <v>3</v>
      </c>
      <c r="B30">
        <v>28</v>
      </c>
      <c r="C30" s="17">
        <v>4.2666700000000002E-7</v>
      </c>
      <c r="D30" s="17">
        <v>4.58301E-7</v>
      </c>
      <c r="E30" s="17">
        <v>4.4339E-7</v>
      </c>
      <c r="F30" s="17">
        <v>1.01151E-7</v>
      </c>
      <c r="G30">
        <v>39.142000000000003</v>
      </c>
      <c r="H30">
        <v>39.0505</v>
      </c>
      <c r="I30">
        <v>39.0505</v>
      </c>
      <c r="J30">
        <v>0</v>
      </c>
      <c r="K30">
        <v>23471.4</v>
      </c>
      <c r="L30">
        <v>22929.1</v>
      </c>
      <c r="M30">
        <v>21321.200000000001</v>
      </c>
      <c r="N30">
        <v>10900.9</v>
      </c>
      <c r="O30">
        <v>2.32151</v>
      </c>
      <c r="P30">
        <v>2.9068399999999999</v>
      </c>
      <c r="Q30">
        <v>1.2054100000000001</v>
      </c>
      <c r="R30">
        <v>5.7511900000000002</v>
      </c>
      <c r="S30">
        <v>3.6473499999999999</v>
      </c>
      <c r="T30">
        <v>3.6176499999999998</v>
      </c>
      <c r="U30">
        <v>3.6176499999999998</v>
      </c>
      <c r="V30">
        <v>0</v>
      </c>
      <c r="W30">
        <v>6.2258800000000001</v>
      </c>
      <c r="X30">
        <v>7.17774</v>
      </c>
      <c r="Y30">
        <v>6.9997499999999997</v>
      </c>
      <c r="Z30">
        <v>3.5048300000000001</v>
      </c>
      <c r="AA30">
        <v>0</v>
      </c>
      <c r="AB30">
        <v>1</v>
      </c>
      <c r="AC30">
        <v>0</v>
      </c>
    </row>
    <row r="31" spans="1:29" x14ac:dyDescent="0.2">
      <c r="A31">
        <v>3</v>
      </c>
      <c r="B31">
        <v>29</v>
      </c>
      <c r="C31" s="17">
        <v>4.3007700000000002E-7</v>
      </c>
      <c r="D31" s="17">
        <v>4.3958399999999997E-7</v>
      </c>
      <c r="E31" s="17">
        <v>4.3186699999999999E-7</v>
      </c>
      <c r="F31" s="17">
        <v>9.7722999999999994E-8</v>
      </c>
      <c r="G31">
        <v>39.142000000000003</v>
      </c>
      <c r="H31">
        <v>39.0505</v>
      </c>
      <c r="I31">
        <v>39.0505</v>
      </c>
      <c r="J31">
        <v>0</v>
      </c>
      <c r="K31">
        <v>13507.8</v>
      </c>
      <c r="L31">
        <v>13727</v>
      </c>
      <c r="M31">
        <v>11570.1</v>
      </c>
      <c r="N31">
        <v>6939.06</v>
      </c>
      <c r="O31">
        <v>9.9822399999999991</v>
      </c>
      <c r="P31">
        <v>12.312799999999999</v>
      </c>
      <c r="Q31">
        <v>2.80179</v>
      </c>
      <c r="R31">
        <v>28.970199999999998</v>
      </c>
      <c r="S31">
        <v>3.6473499999999999</v>
      </c>
      <c r="T31">
        <v>3.6176499999999998</v>
      </c>
      <c r="U31">
        <v>3.6176499999999998</v>
      </c>
      <c r="V31">
        <v>0</v>
      </c>
      <c r="W31">
        <v>6.3683699999999996</v>
      </c>
      <c r="X31">
        <v>6.5874300000000003</v>
      </c>
      <c r="Y31">
        <v>6.8056299999999998</v>
      </c>
      <c r="Z31">
        <v>3.5158</v>
      </c>
      <c r="AA31">
        <v>0</v>
      </c>
      <c r="AB31">
        <v>1</v>
      </c>
      <c r="AC31">
        <v>0</v>
      </c>
    </row>
    <row r="32" spans="1:29" x14ac:dyDescent="0.2">
      <c r="A32">
        <v>3</v>
      </c>
      <c r="B32">
        <v>30</v>
      </c>
      <c r="C32" s="17">
        <v>3.8728699999999999E-7</v>
      </c>
      <c r="D32" s="17">
        <v>3.8507300000000002E-7</v>
      </c>
      <c r="E32" s="17">
        <v>3.1758999999999997E-7</v>
      </c>
      <c r="F32" s="17">
        <v>9.1035900000000003E-8</v>
      </c>
      <c r="G32">
        <v>39.142000000000003</v>
      </c>
      <c r="H32">
        <v>39.0505</v>
      </c>
      <c r="I32">
        <v>39.0505</v>
      </c>
      <c r="J32">
        <v>0</v>
      </c>
      <c r="K32">
        <v>11039.6</v>
      </c>
      <c r="L32">
        <v>10959.3</v>
      </c>
      <c r="M32">
        <v>10464.1</v>
      </c>
      <c r="N32">
        <v>7009.41</v>
      </c>
      <c r="O32">
        <v>106.758</v>
      </c>
      <c r="P32">
        <v>178.68799999999999</v>
      </c>
      <c r="Q32">
        <v>1.98935</v>
      </c>
      <c r="R32">
        <v>361.32799999999997</v>
      </c>
      <c r="S32">
        <v>3.6473499999999999</v>
      </c>
      <c r="T32">
        <v>3.6176499999999998</v>
      </c>
      <c r="U32">
        <v>3.6176499999999998</v>
      </c>
      <c r="V32">
        <v>0</v>
      </c>
      <c r="W32">
        <v>9.4144199999999998</v>
      </c>
      <c r="X32">
        <v>7.4641700000000002</v>
      </c>
      <c r="Y32">
        <v>9.3678600000000003</v>
      </c>
      <c r="Z32">
        <v>5.4693300000000002</v>
      </c>
      <c r="AA32">
        <v>0</v>
      </c>
      <c r="AB32">
        <v>1</v>
      </c>
      <c r="AC32">
        <v>0</v>
      </c>
    </row>
    <row r="33" spans="1:29" x14ac:dyDescent="0.2">
      <c r="A33">
        <v>3</v>
      </c>
      <c r="B33">
        <v>31</v>
      </c>
      <c r="C33" s="17">
        <v>3.8629E-7</v>
      </c>
      <c r="D33" s="17">
        <v>3.8308499999999999E-7</v>
      </c>
      <c r="E33" s="17">
        <v>4.1734499999999998E-7</v>
      </c>
      <c r="F33" s="17">
        <v>1.00475E-7</v>
      </c>
      <c r="G33">
        <v>39.142000000000003</v>
      </c>
      <c r="H33">
        <v>39.0505</v>
      </c>
      <c r="I33">
        <v>39.0505</v>
      </c>
      <c r="J33">
        <v>0</v>
      </c>
      <c r="K33">
        <v>11637.2</v>
      </c>
      <c r="L33">
        <v>10835.7</v>
      </c>
      <c r="M33">
        <v>8109.9</v>
      </c>
      <c r="N33">
        <v>8198.02</v>
      </c>
      <c r="O33">
        <v>2394.64</v>
      </c>
      <c r="P33">
        <v>2200.89</v>
      </c>
      <c r="Q33">
        <v>546.47699999999998</v>
      </c>
      <c r="R33">
        <v>13750.6</v>
      </c>
      <c r="S33">
        <v>3.6473499999999999</v>
      </c>
      <c r="T33">
        <v>3.6176499999999998</v>
      </c>
      <c r="U33">
        <v>3.6176499999999998</v>
      </c>
      <c r="V33">
        <v>0</v>
      </c>
      <c r="W33">
        <v>7.3452200000000003</v>
      </c>
      <c r="X33">
        <v>8.4907000000000004</v>
      </c>
      <c r="Y33">
        <v>3.3932099999999998</v>
      </c>
      <c r="Z33">
        <v>8.7671899999999994</v>
      </c>
      <c r="AA33">
        <v>0</v>
      </c>
      <c r="AB33">
        <v>1</v>
      </c>
      <c r="AC33">
        <v>0</v>
      </c>
    </row>
    <row r="34" spans="1:29" x14ac:dyDescent="0.2">
      <c r="A34">
        <v>3</v>
      </c>
      <c r="B34">
        <v>32</v>
      </c>
      <c r="C34" s="17">
        <v>6.3088700000000003E-7</v>
      </c>
      <c r="D34" s="17">
        <v>6.3193800000000003E-7</v>
      </c>
      <c r="E34" s="17">
        <v>6.3321200000000005E-7</v>
      </c>
      <c r="F34" s="17">
        <v>9.9991499999999999E-8</v>
      </c>
      <c r="G34">
        <v>39.142000000000003</v>
      </c>
      <c r="H34">
        <v>39.0505</v>
      </c>
      <c r="I34">
        <v>39.0505</v>
      </c>
      <c r="J34">
        <v>0</v>
      </c>
      <c r="K34">
        <v>7557.05</v>
      </c>
      <c r="L34">
        <v>6283.44</v>
      </c>
      <c r="M34">
        <v>5300.35</v>
      </c>
      <c r="N34">
        <v>3429.95</v>
      </c>
      <c r="O34">
        <v>67.583799999999997</v>
      </c>
      <c r="P34">
        <v>52.7376</v>
      </c>
      <c r="Q34">
        <v>30.423100000000002</v>
      </c>
      <c r="R34">
        <v>78.634900000000002</v>
      </c>
      <c r="S34">
        <v>3.6473499999999999</v>
      </c>
      <c r="T34">
        <v>3.6176499999999998</v>
      </c>
      <c r="U34">
        <v>3.6176499999999998</v>
      </c>
      <c r="V34">
        <v>0</v>
      </c>
      <c r="W34">
        <v>0.99945600000000001</v>
      </c>
      <c r="X34">
        <v>1.0376700000000001</v>
      </c>
      <c r="Y34">
        <v>1.06308</v>
      </c>
      <c r="Z34">
        <v>0.50816700000000004</v>
      </c>
      <c r="AA34">
        <v>0</v>
      </c>
      <c r="AB34">
        <v>1</v>
      </c>
      <c r="AC34">
        <v>0</v>
      </c>
    </row>
    <row r="35" spans="1:29" x14ac:dyDescent="0.2">
      <c r="A35">
        <v>3</v>
      </c>
      <c r="B35">
        <v>33</v>
      </c>
      <c r="C35" s="17">
        <v>6.9804699999999995E-7</v>
      </c>
      <c r="D35" s="17">
        <v>6.9502499999999997E-7</v>
      </c>
      <c r="E35" s="17">
        <v>6.8108800000000002E-7</v>
      </c>
      <c r="F35" s="17">
        <v>1.0534399999999999E-7</v>
      </c>
      <c r="G35">
        <v>39.142000000000003</v>
      </c>
      <c r="H35">
        <v>39.0505</v>
      </c>
      <c r="I35">
        <v>39.0505</v>
      </c>
      <c r="J35">
        <v>0</v>
      </c>
      <c r="K35">
        <v>10501.1</v>
      </c>
      <c r="L35">
        <v>9671.74</v>
      </c>
      <c r="M35">
        <v>8453.51</v>
      </c>
      <c r="N35">
        <v>3765.14</v>
      </c>
      <c r="O35">
        <v>12.728</v>
      </c>
      <c r="P35">
        <v>11.025600000000001</v>
      </c>
      <c r="Q35">
        <v>6.06412</v>
      </c>
      <c r="R35">
        <v>14.888299999999999</v>
      </c>
      <c r="S35">
        <v>3.6473499999999999</v>
      </c>
      <c r="T35">
        <v>3.6176499999999998</v>
      </c>
      <c r="U35">
        <v>3.6176499999999998</v>
      </c>
      <c r="V35">
        <v>0</v>
      </c>
      <c r="W35">
        <v>1.1141300000000001</v>
      </c>
      <c r="X35">
        <v>1.08683</v>
      </c>
      <c r="Y35">
        <v>0.97250599999999998</v>
      </c>
      <c r="Z35">
        <v>0.49931799999999998</v>
      </c>
      <c r="AA35">
        <v>0</v>
      </c>
      <c r="AB35">
        <v>1</v>
      </c>
      <c r="AC35">
        <v>0</v>
      </c>
    </row>
    <row r="36" spans="1:29" x14ac:dyDescent="0.2">
      <c r="A36">
        <v>3</v>
      </c>
      <c r="B36">
        <v>34</v>
      </c>
      <c r="C36" s="17">
        <v>4.3859800000000002E-7</v>
      </c>
      <c r="D36" s="17">
        <v>4.5001300000000002E-7</v>
      </c>
      <c r="E36" s="17">
        <v>4.0952399999999998E-7</v>
      </c>
      <c r="F36" s="17">
        <v>9.4979400000000001E-8</v>
      </c>
      <c r="G36">
        <v>39.142000000000003</v>
      </c>
      <c r="H36">
        <v>39.0505</v>
      </c>
      <c r="I36">
        <v>39.0505</v>
      </c>
      <c r="J36">
        <v>0</v>
      </c>
      <c r="K36">
        <v>14894</v>
      </c>
      <c r="L36">
        <v>12308.8</v>
      </c>
      <c r="M36">
        <v>10439.5</v>
      </c>
      <c r="N36">
        <v>8309.85</v>
      </c>
      <c r="O36">
        <v>190.761</v>
      </c>
      <c r="P36">
        <v>177.869</v>
      </c>
      <c r="Q36">
        <v>75.098200000000006</v>
      </c>
      <c r="R36">
        <v>257.80799999999999</v>
      </c>
      <c r="S36">
        <v>3.6473499999999999</v>
      </c>
      <c r="T36">
        <v>3.6176499999999998</v>
      </c>
      <c r="U36">
        <v>3.6176499999999998</v>
      </c>
      <c r="V36">
        <v>0</v>
      </c>
      <c r="W36">
        <v>5.0524800000000001</v>
      </c>
      <c r="X36">
        <v>5.5575799999999997</v>
      </c>
      <c r="Y36">
        <v>6.20838</v>
      </c>
      <c r="Z36">
        <v>3.2524000000000002</v>
      </c>
      <c r="AA36">
        <v>1</v>
      </c>
      <c r="AB36">
        <v>1</v>
      </c>
      <c r="AC36">
        <v>1</v>
      </c>
    </row>
    <row r="37" spans="1:29" x14ac:dyDescent="0.2">
      <c r="A37">
        <v>3</v>
      </c>
      <c r="B37">
        <v>35</v>
      </c>
      <c r="C37" s="17">
        <v>4.33114E-7</v>
      </c>
      <c r="D37" s="17">
        <v>4.3312499999999998E-7</v>
      </c>
      <c r="E37" s="17">
        <v>3.9516E-7</v>
      </c>
      <c r="F37" s="17">
        <v>9.0882999999999994E-8</v>
      </c>
      <c r="G37">
        <v>39.142000000000003</v>
      </c>
      <c r="H37">
        <v>39.0505</v>
      </c>
      <c r="I37">
        <v>39.0505</v>
      </c>
      <c r="J37">
        <v>0</v>
      </c>
      <c r="K37">
        <v>14038</v>
      </c>
      <c r="L37">
        <v>13407.9</v>
      </c>
      <c r="M37">
        <v>10463.9</v>
      </c>
      <c r="N37">
        <v>9491.93</v>
      </c>
      <c r="O37">
        <v>270.36</v>
      </c>
      <c r="P37">
        <v>284.88900000000001</v>
      </c>
      <c r="Q37">
        <v>85.889399999999995</v>
      </c>
      <c r="R37">
        <v>459.56400000000002</v>
      </c>
      <c r="S37">
        <v>3.6473499999999999</v>
      </c>
      <c r="T37">
        <v>3.6176499999999998</v>
      </c>
      <c r="U37">
        <v>3.6176499999999998</v>
      </c>
      <c r="V37">
        <v>0</v>
      </c>
      <c r="W37">
        <v>5.9452400000000001</v>
      </c>
      <c r="X37">
        <v>5.7273300000000003</v>
      </c>
      <c r="Y37">
        <v>7.1895499999999997</v>
      </c>
      <c r="Z37">
        <v>3.5496799999999999</v>
      </c>
      <c r="AA37">
        <v>1</v>
      </c>
      <c r="AB37">
        <v>1</v>
      </c>
      <c r="AC37">
        <v>1</v>
      </c>
    </row>
    <row r="38" spans="1:29" x14ac:dyDescent="0.2">
      <c r="A38">
        <v>3</v>
      </c>
      <c r="B38">
        <v>36</v>
      </c>
      <c r="C38" s="17">
        <v>4.4227800000000001E-7</v>
      </c>
      <c r="D38" s="17">
        <v>4.4152E-7</v>
      </c>
      <c r="E38" s="17">
        <v>4.4212300000000002E-7</v>
      </c>
      <c r="F38" s="17">
        <v>1.12835E-7</v>
      </c>
      <c r="G38">
        <v>39.142000000000003</v>
      </c>
      <c r="H38">
        <v>39.0505</v>
      </c>
      <c r="I38">
        <v>39.0505</v>
      </c>
      <c r="J38">
        <v>0</v>
      </c>
      <c r="K38">
        <v>11053.1</v>
      </c>
      <c r="L38">
        <v>11807.3</v>
      </c>
      <c r="M38">
        <v>9605.5499999999993</v>
      </c>
      <c r="N38">
        <v>8546.41</v>
      </c>
      <c r="O38">
        <v>22215.1</v>
      </c>
      <c r="P38">
        <v>12412</v>
      </c>
      <c r="Q38">
        <v>1449.83</v>
      </c>
      <c r="R38">
        <v>38822.6</v>
      </c>
      <c r="S38">
        <v>3.6473499999999999</v>
      </c>
      <c r="T38">
        <v>3.6176499999999998</v>
      </c>
      <c r="U38">
        <v>3.6176499999999998</v>
      </c>
      <c r="V38">
        <v>0</v>
      </c>
      <c r="W38">
        <v>5.2574100000000001</v>
      </c>
      <c r="X38">
        <v>5.3432300000000001</v>
      </c>
      <c r="Y38">
        <v>3.27122</v>
      </c>
      <c r="Z38">
        <v>7.7268100000000004</v>
      </c>
      <c r="AA38">
        <v>1</v>
      </c>
      <c r="AB38">
        <v>1</v>
      </c>
      <c r="AC38">
        <v>1</v>
      </c>
    </row>
    <row r="39" spans="1:29" x14ac:dyDescent="0.2">
      <c r="A39">
        <v>3</v>
      </c>
      <c r="B39">
        <v>37</v>
      </c>
      <c r="C39" s="17">
        <v>4.5010700000000002E-7</v>
      </c>
      <c r="D39" s="17">
        <v>4.36085E-7</v>
      </c>
      <c r="E39" s="17">
        <v>4.4212199999999999E-7</v>
      </c>
      <c r="F39" s="17">
        <v>1.02326E-7</v>
      </c>
      <c r="G39">
        <v>39.142000000000003</v>
      </c>
      <c r="H39">
        <v>39.0505</v>
      </c>
      <c r="I39">
        <v>39.0505</v>
      </c>
      <c r="J39">
        <v>0</v>
      </c>
      <c r="K39">
        <v>10646.7</v>
      </c>
      <c r="L39">
        <v>11501</v>
      </c>
      <c r="M39">
        <v>9605.14</v>
      </c>
      <c r="N39">
        <v>8178.01</v>
      </c>
      <c r="O39">
        <v>19915.400000000001</v>
      </c>
      <c r="P39">
        <v>20487.599999999999</v>
      </c>
      <c r="Q39">
        <v>1449.99</v>
      </c>
      <c r="R39">
        <v>113971</v>
      </c>
      <c r="S39">
        <v>3.6473499999999999</v>
      </c>
      <c r="T39">
        <v>3.6176499999999998</v>
      </c>
      <c r="U39">
        <v>3.6176499999999998</v>
      </c>
      <c r="V39">
        <v>0</v>
      </c>
      <c r="W39">
        <v>4.7848699999999997</v>
      </c>
      <c r="X39">
        <v>5.6357299999999997</v>
      </c>
      <c r="Y39">
        <v>3.2704800000000001</v>
      </c>
      <c r="Z39">
        <v>6.5535600000000001</v>
      </c>
      <c r="AA39">
        <v>1</v>
      </c>
      <c r="AB39">
        <v>1</v>
      </c>
      <c r="AC39">
        <v>1</v>
      </c>
    </row>
    <row r="40" spans="1:29" x14ac:dyDescent="0.2">
      <c r="A40">
        <v>3</v>
      </c>
      <c r="B40">
        <v>38</v>
      </c>
      <c r="C40" s="17">
        <v>5.5695100000000005E-7</v>
      </c>
      <c r="D40" s="17">
        <v>5.6226099999999998E-7</v>
      </c>
      <c r="E40" s="17">
        <v>5.6241099999999999E-7</v>
      </c>
      <c r="F40" s="17">
        <v>8.0525199999999999E-8</v>
      </c>
      <c r="G40">
        <v>39.142000000000003</v>
      </c>
      <c r="H40">
        <v>39.0505</v>
      </c>
      <c r="I40">
        <v>39.0505</v>
      </c>
      <c r="J40">
        <v>0</v>
      </c>
      <c r="K40">
        <v>16630.5</v>
      </c>
      <c r="L40">
        <v>16873.599999999999</v>
      </c>
      <c r="M40">
        <v>14873.1</v>
      </c>
      <c r="N40">
        <v>7447.23</v>
      </c>
      <c r="O40">
        <v>17.834800000000001</v>
      </c>
      <c r="P40">
        <v>17.4953</v>
      </c>
      <c r="Q40">
        <v>9.2482199999999999</v>
      </c>
      <c r="R40">
        <v>26.127300000000002</v>
      </c>
      <c r="S40">
        <v>3.6473499999999999</v>
      </c>
      <c r="T40">
        <v>3.6176499999999998</v>
      </c>
      <c r="U40">
        <v>3.6176499999999998</v>
      </c>
      <c r="V40">
        <v>0</v>
      </c>
      <c r="W40">
        <v>1.2425299999999999</v>
      </c>
      <c r="X40">
        <v>1.2406200000000001</v>
      </c>
      <c r="Y40">
        <v>1.3418600000000001</v>
      </c>
      <c r="Z40">
        <v>0.54619300000000004</v>
      </c>
      <c r="AA40">
        <v>1</v>
      </c>
      <c r="AB40">
        <v>1</v>
      </c>
      <c r="AC40">
        <v>1</v>
      </c>
    </row>
    <row r="41" spans="1:29" x14ac:dyDescent="0.2">
      <c r="A41">
        <v>3</v>
      </c>
      <c r="B41">
        <v>39</v>
      </c>
      <c r="C41" s="17">
        <v>5.1753599999999996E-7</v>
      </c>
      <c r="D41" s="17">
        <v>5.1489500000000001E-7</v>
      </c>
      <c r="E41" s="17">
        <v>5.0514799999999999E-7</v>
      </c>
      <c r="F41" s="17">
        <v>6.8050299999999994E-8</v>
      </c>
      <c r="G41">
        <v>39.142000000000003</v>
      </c>
      <c r="H41">
        <v>39.0505</v>
      </c>
      <c r="I41">
        <v>39.0505</v>
      </c>
      <c r="J41">
        <v>0</v>
      </c>
      <c r="K41">
        <v>9848.02</v>
      </c>
      <c r="L41">
        <v>9645.25</v>
      </c>
      <c r="M41">
        <v>8558.4500000000007</v>
      </c>
      <c r="N41">
        <v>3771.61</v>
      </c>
      <c r="O41">
        <v>3.7099700000000002</v>
      </c>
      <c r="P41">
        <v>3.0025499999999998</v>
      </c>
      <c r="Q41">
        <v>0.64296699999999996</v>
      </c>
      <c r="R41">
        <v>10.9802</v>
      </c>
      <c r="S41">
        <v>3.6473499999999999</v>
      </c>
      <c r="T41">
        <v>3.6176499999999998</v>
      </c>
      <c r="U41">
        <v>3.6176499999999998</v>
      </c>
      <c r="V41">
        <v>0</v>
      </c>
      <c r="W41">
        <v>1.9655199999999999</v>
      </c>
      <c r="X41">
        <v>1.9346399999999999</v>
      </c>
      <c r="Y41">
        <v>1.9620599999999999</v>
      </c>
      <c r="Z41">
        <v>0.83669099999999996</v>
      </c>
      <c r="AA41">
        <v>1</v>
      </c>
      <c r="AB41">
        <v>1</v>
      </c>
      <c r="AC41">
        <v>1</v>
      </c>
    </row>
    <row r="42" spans="1:29" x14ac:dyDescent="0.2">
      <c r="A42">
        <v>3</v>
      </c>
      <c r="B42">
        <v>40</v>
      </c>
      <c r="C42" s="17">
        <v>5.6128400000000001E-7</v>
      </c>
      <c r="D42" s="17">
        <v>5.8006899999999995E-7</v>
      </c>
      <c r="E42" s="17">
        <v>5.6982899999999999E-7</v>
      </c>
      <c r="F42" s="17">
        <v>9.9784500000000003E-8</v>
      </c>
      <c r="G42">
        <v>39.142000000000003</v>
      </c>
      <c r="H42">
        <v>39.0505</v>
      </c>
      <c r="I42">
        <v>39.0505</v>
      </c>
      <c r="J42">
        <v>0</v>
      </c>
      <c r="K42">
        <v>12504</v>
      </c>
      <c r="L42">
        <v>13687.8</v>
      </c>
      <c r="M42">
        <v>11336.2</v>
      </c>
      <c r="N42">
        <v>8047.71</v>
      </c>
      <c r="O42">
        <v>82.790199999999999</v>
      </c>
      <c r="P42">
        <v>95.883600000000001</v>
      </c>
      <c r="Q42">
        <v>61.348999999999997</v>
      </c>
      <c r="R42">
        <v>115.81699999999999</v>
      </c>
      <c r="S42">
        <v>3.6473499999999999</v>
      </c>
      <c r="T42">
        <v>3.6176499999999998</v>
      </c>
      <c r="U42">
        <v>3.6176499999999998</v>
      </c>
      <c r="V42">
        <v>0</v>
      </c>
      <c r="W42">
        <v>1.17889</v>
      </c>
      <c r="X42">
        <v>1.2690600000000001</v>
      </c>
      <c r="Y42">
        <v>1.3397699999999999</v>
      </c>
      <c r="Z42">
        <v>0.58418700000000001</v>
      </c>
      <c r="AA42">
        <v>1</v>
      </c>
      <c r="AB42">
        <v>1</v>
      </c>
      <c r="AC42">
        <v>1</v>
      </c>
    </row>
    <row r="43" spans="1:29" x14ac:dyDescent="0.2">
      <c r="A43">
        <v>3</v>
      </c>
      <c r="B43">
        <v>41</v>
      </c>
      <c r="C43" s="17">
        <v>4.25299E-7</v>
      </c>
      <c r="D43" s="17">
        <v>4.4115600000000001E-7</v>
      </c>
      <c r="E43" s="17">
        <v>4.4211199999999998E-7</v>
      </c>
      <c r="F43" s="17">
        <v>1.01042E-7</v>
      </c>
      <c r="G43">
        <v>39.142000000000003</v>
      </c>
      <c r="H43">
        <v>39.0505</v>
      </c>
      <c r="I43">
        <v>39.0505</v>
      </c>
      <c r="J43">
        <v>0</v>
      </c>
      <c r="K43">
        <v>12195.5</v>
      </c>
      <c r="L43">
        <v>11515.1</v>
      </c>
      <c r="M43">
        <v>9606.24</v>
      </c>
      <c r="N43">
        <v>8567.7999999999993</v>
      </c>
      <c r="O43">
        <v>14194.4</v>
      </c>
      <c r="P43">
        <v>16306.9</v>
      </c>
      <c r="Q43">
        <v>1449.89</v>
      </c>
      <c r="R43">
        <v>58474.6</v>
      </c>
      <c r="S43">
        <v>3.6473499999999999</v>
      </c>
      <c r="T43">
        <v>3.6176499999999998</v>
      </c>
      <c r="U43">
        <v>3.6176499999999998</v>
      </c>
      <c r="V43">
        <v>0</v>
      </c>
      <c r="W43">
        <v>5.7045399999999997</v>
      </c>
      <c r="X43">
        <v>5.6294000000000004</v>
      </c>
      <c r="Y43">
        <v>3.27068</v>
      </c>
      <c r="Z43">
        <v>6.1904199999999996</v>
      </c>
      <c r="AA43">
        <v>1</v>
      </c>
      <c r="AB43">
        <v>1</v>
      </c>
      <c r="AC43">
        <v>1</v>
      </c>
    </row>
    <row r="44" spans="1:29" x14ac:dyDescent="0.2">
      <c r="A44">
        <v>3</v>
      </c>
      <c r="B44">
        <v>42</v>
      </c>
      <c r="C44" s="17">
        <v>4.1889499999999999E-7</v>
      </c>
      <c r="D44" s="17">
        <v>4.31108E-7</v>
      </c>
      <c r="E44" s="17">
        <v>3.9460299999999998E-7</v>
      </c>
      <c r="F44" s="17">
        <v>9.5968899999999999E-8</v>
      </c>
      <c r="G44">
        <v>39.142000000000003</v>
      </c>
      <c r="H44">
        <v>39.0505</v>
      </c>
      <c r="I44">
        <v>39.0505</v>
      </c>
      <c r="J44">
        <v>0</v>
      </c>
      <c r="K44">
        <v>13560.5</v>
      </c>
      <c r="L44">
        <v>12722.6</v>
      </c>
      <c r="M44">
        <v>10627.1</v>
      </c>
      <c r="N44">
        <v>8783.4699999999993</v>
      </c>
      <c r="O44">
        <v>332.79500000000002</v>
      </c>
      <c r="P44">
        <v>260.65300000000002</v>
      </c>
      <c r="Q44">
        <v>89.5291</v>
      </c>
      <c r="R44">
        <v>745.65700000000004</v>
      </c>
      <c r="S44">
        <v>3.6473499999999999</v>
      </c>
      <c r="T44">
        <v>3.6176499999999998</v>
      </c>
      <c r="U44">
        <v>3.6176499999999998</v>
      </c>
      <c r="V44">
        <v>0</v>
      </c>
      <c r="W44">
        <v>5.4787600000000003</v>
      </c>
      <c r="X44">
        <v>5.8047199999999997</v>
      </c>
      <c r="Y44">
        <v>7.1704299999999996</v>
      </c>
      <c r="Z44">
        <v>3.5781800000000001</v>
      </c>
      <c r="AA44">
        <v>1</v>
      </c>
      <c r="AB44">
        <v>1</v>
      </c>
      <c r="AC44">
        <v>1</v>
      </c>
    </row>
    <row r="45" spans="1:29" x14ac:dyDescent="0.2">
      <c r="A45">
        <v>3</v>
      </c>
      <c r="B45">
        <v>43</v>
      </c>
      <c r="C45" s="17">
        <v>4.2775699999999998E-7</v>
      </c>
      <c r="D45" s="17">
        <v>4.5018900000000001E-7</v>
      </c>
      <c r="E45" s="17">
        <v>4.4211700000000001E-7</v>
      </c>
      <c r="F45" s="17">
        <v>1.1440199999999999E-7</v>
      </c>
      <c r="G45">
        <v>39.142000000000003</v>
      </c>
      <c r="H45">
        <v>39.0505</v>
      </c>
      <c r="I45">
        <v>39.0505</v>
      </c>
      <c r="J45">
        <v>0</v>
      </c>
      <c r="K45">
        <v>11789.2</v>
      </c>
      <c r="L45">
        <v>11847.1</v>
      </c>
      <c r="M45">
        <v>9604.2199999999993</v>
      </c>
      <c r="N45">
        <v>8222.9699999999993</v>
      </c>
      <c r="O45">
        <v>14063.1</v>
      </c>
      <c r="P45">
        <v>20012.099999999999</v>
      </c>
      <c r="Q45">
        <v>1449.84</v>
      </c>
      <c r="R45">
        <v>80599.600000000006</v>
      </c>
      <c r="S45">
        <v>3.6473499999999999</v>
      </c>
      <c r="T45">
        <v>3.6176499999999998</v>
      </c>
      <c r="U45">
        <v>3.6176499999999998</v>
      </c>
      <c r="V45">
        <v>0</v>
      </c>
      <c r="W45">
        <v>4.7696100000000001</v>
      </c>
      <c r="X45">
        <v>5.3516300000000001</v>
      </c>
      <c r="Y45">
        <v>3.2699799999999999</v>
      </c>
      <c r="Z45">
        <v>6.0513000000000003</v>
      </c>
      <c r="AA45">
        <v>1</v>
      </c>
      <c r="AB45">
        <v>1</v>
      </c>
      <c r="AC45">
        <v>1</v>
      </c>
    </row>
    <row r="46" spans="1:29" x14ac:dyDescent="0.2">
      <c r="A46">
        <v>3</v>
      </c>
      <c r="B46">
        <v>44</v>
      </c>
      <c r="C46" s="17">
        <v>4.3580000000000002E-7</v>
      </c>
      <c r="D46" s="17">
        <v>4.3974699999999997E-7</v>
      </c>
      <c r="E46" s="17">
        <v>4.4211799999999999E-7</v>
      </c>
      <c r="F46" s="17">
        <v>1.03391E-7</v>
      </c>
      <c r="G46">
        <v>39.142000000000003</v>
      </c>
      <c r="H46">
        <v>39.0505</v>
      </c>
      <c r="I46">
        <v>39.0505</v>
      </c>
      <c r="J46">
        <v>0</v>
      </c>
      <c r="K46">
        <v>11481</v>
      </c>
      <c r="L46">
        <v>11195.8</v>
      </c>
      <c r="M46">
        <v>9605.7099999999991</v>
      </c>
      <c r="N46">
        <v>7960.42</v>
      </c>
      <c r="O46">
        <v>18421.099999999999</v>
      </c>
      <c r="P46">
        <v>12820.3</v>
      </c>
      <c r="Q46">
        <v>1449.85</v>
      </c>
      <c r="R46">
        <v>41220.400000000001</v>
      </c>
      <c r="S46">
        <v>3.6473499999999999</v>
      </c>
      <c r="T46">
        <v>3.6176499999999998</v>
      </c>
      <c r="U46">
        <v>3.6176499999999998</v>
      </c>
      <c r="V46">
        <v>0</v>
      </c>
      <c r="W46">
        <v>4.7885900000000001</v>
      </c>
      <c r="X46">
        <v>5.42971</v>
      </c>
      <c r="Y46">
        <v>3.2711600000000001</v>
      </c>
      <c r="Z46">
        <v>5.4569900000000002</v>
      </c>
      <c r="AA46">
        <v>1</v>
      </c>
      <c r="AB46">
        <v>1</v>
      </c>
      <c r="AC4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101"/>
  <sheetViews>
    <sheetView topLeftCell="G1" workbookViewId="0">
      <selection activeCell="P21" sqref="P21"/>
    </sheetView>
  </sheetViews>
  <sheetFormatPr baseColWidth="10" defaultRowHeight="16" x14ac:dyDescent="0.2"/>
  <cols>
    <col min="5" max="5" width="13" customWidth="1"/>
    <col min="6" max="6" width="15.140625" customWidth="1"/>
  </cols>
  <sheetData>
    <row r="2" spans="1:19" x14ac:dyDescent="0.2">
      <c r="A2" t="s">
        <v>0</v>
      </c>
      <c r="B2" t="s">
        <v>73</v>
      </c>
      <c r="C2" t="s">
        <v>82</v>
      </c>
      <c r="D2" t="s">
        <v>75</v>
      </c>
      <c r="E2" t="s">
        <v>76</v>
      </c>
      <c r="F2" t="s">
        <v>77</v>
      </c>
      <c r="G2" t="s">
        <v>78</v>
      </c>
    </row>
    <row r="3" spans="1:19" x14ac:dyDescent="0.2">
      <c r="A3">
        <f>'Individual Parameters 1 2'!A3</f>
        <v>1</v>
      </c>
      <c r="B3">
        <f>'Individual Parameters 1 2'!B3</f>
        <v>1</v>
      </c>
      <c r="C3">
        <f>'Individual Parameters 1 2'!X3</f>
        <v>1.8040700000000001</v>
      </c>
      <c r="D3">
        <f>'Individual Parameters 1 2'!Y3</f>
        <v>1.76397</v>
      </c>
      <c r="E3" s="19">
        <f>'SIV DNA'!G3</f>
        <v>1205.3</v>
      </c>
      <c r="F3" s="19">
        <f>'SIV DNA'!H3</f>
        <v>650.4</v>
      </c>
      <c r="G3" s="19">
        <f>'SIV DNA'!I3</f>
        <v>3</v>
      </c>
      <c r="Q3" t="s">
        <v>79</v>
      </c>
      <c r="S3">
        <v>-0.42</v>
      </c>
    </row>
    <row r="4" spans="1:19" x14ac:dyDescent="0.2">
      <c r="A4">
        <f>'Individual Parameters 1 2'!A4</f>
        <v>1</v>
      </c>
      <c r="B4">
        <f>'Individual Parameters 1 2'!B4</f>
        <v>2</v>
      </c>
      <c r="C4">
        <f>'Individual Parameters 1 2'!X4</f>
        <v>1.38506</v>
      </c>
      <c r="D4">
        <f>'Individual Parameters 1 2'!Y4</f>
        <v>1.5875600000000001</v>
      </c>
      <c r="E4" s="19">
        <f>'SIV DNA'!G4</f>
        <v>1436.4549999999999</v>
      </c>
      <c r="F4" s="19">
        <f>'SIV DNA'!H4</f>
        <v>1050.5</v>
      </c>
      <c r="G4" s="19">
        <f>'SIV DNA'!I4</f>
        <v>3</v>
      </c>
      <c r="Q4" t="s">
        <v>80</v>
      </c>
      <c r="S4" s="17">
        <v>3.0000000000000001E-5</v>
      </c>
    </row>
    <row r="5" spans="1:19" x14ac:dyDescent="0.2">
      <c r="A5">
        <f>'Individual Parameters 1 2'!A5</f>
        <v>1</v>
      </c>
      <c r="B5">
        <f>'Individual Parameters 1 2'!B5</f>
        <v>3</v>
      </c>
      <c r="C5">
        <f>'Individual Parameters 1 2'!X5</f>
        <v>1.5404500000000001</v>
      </c>
      <c r="D5">
        <f>'Individual Parameters 1 2'!Y5</f>
        <v>1.5081599999999999</v>
      </c>
      <c r="E5" s="19">
        <f>'SIV DNA'!G5</f>
        <v>1174.3</v>
      </c>
      <c r="F5" s="19">
        <f>'SIV DNA'!H5</f>
        <v>1586.4</v>
      </c>
      <c r="G5" s="19">
        <f>'SIV DNA'!I5</f>
        <v>3</v>
      </c>
    </row>
    <row r="6" spans="1:19" x14ac:dyDescent="0.2">
      <c r="A6">
        <f>'Individual Parameters 1 2'!A6</f>
        <v>1</v>
      </c>
      <c r="B6">
        <f>'Individual Parameters 1 2'!B6</f>
        <v>4</v>
      </c>
      <c r="C6">
        <f>'Individual Parameters 1 2'!X6</f>
        <v>1.60964</v>
      </c>
      <c r="D6">
        <f>'Individual Parameters 1 2'!Y6</f>
        <v>1.5199199999999999</v>
      </c>
      <c r="E6" s="19">
        <f>'SIV DNA'!G6</f>
        <v>2457.5839999999998</v>
      </c>
      <c r="F6" s="19">
        <f>'SIV DNA'!H6</f>
        <v>1163.3</v>
      </c>
      <c r="G6" s="19">
        <f>'SIV DNA'!I6</f>
        <v>3</v>
      </c>
    </row>
    <row r="7" spans="1:19" x14ac:dyDescent="0.2">
      <c r="A7">
        <f>'Individual Parameters 1 2'!A7</f>
        <v>1</v>
      </c>
      <c r="B7">
        <f>'Individual Parameters 1 2'!B7</f>
        <v>5</v>
      </c>
      <c r="C7">
        <f>'Individual Parameters 1 2'!X7</f>
        <v>0.79433699999999996</v>
      </c>
      <c r="D7">
        <f>'Individual Parameters 1 2'!Y7</f>
        <v>0.78783800000000004</v>
      </c>
      <c r="E7" s="19">
        <f>'SIV DNA'!G7</f>
        <v>1107.2349999999999</v>
      </c>
      <c r="F7" s="19">
        <f>'SIV DNA'!H7</f>
        <v>1003.2</v>
      </c>
      <c r="G7" s="19">
        <f>'SIV DNA'!I7</f>
        <v>595</v>
      </c>
    </row>
    <row r="8" spans="1:19" x14ac:dyDescent="0.2">
      <c r="A8">
        <f>'Individual Parameters 1 2'!A8</f>
        <v>1</v>
      </c>
      <c r="B8">
        <f>'Individual Parameters 1 2'!B8</f>
        <v>6</v>
      </c>
      <c r="C8">
        <f>'Individual Parameters 1 2'!X8</f>
        <v>0.10320600000000001</v>
      </c>
      <c r="D8">
        <f>'Individual Parameters 1 2'!Y8</f>
        <v>9.2952400000000004E-2</v>
      </c>
      <c r="E8" s="19">
        <f>'SIV DNA'!G8</f>
        <v>8622.7209999999995</v>
      </c>
      <c r="F8" s="19">
        <f>'SIV DNA'!H8</f>
        <v>2506.2080000000001</v>
      </c>
      <c r="G8" s="19">
        <f>'SIV DNA'!I8</f>
        <v>596</v>
      </c>
    </row>
    <row r="9" spans="1:19" x14ac:dyDescent="0.2">
      <c r="A9">
        <f>'Individual Parameters 1 2'!A9</f>
        <v>1</v>
      </c>
      <c r="B9">
        <f>'Individual Parameters 1 2'!B9</f>
        <v>7</v>
      </c>
      <c r="C9">
        <f>'Individual Parameters 1 2'!X9</f>
        <v>0.59933400000000003</v>
      </c>
      <c r="D9">
        <f>'Individual Parameters 1 2'!Y9</f>
        <v>0.72390100000000002</v>
      </c>
      <c r="E9" s="19">
        <f>'SIV DNA'!G9</f>
        <v>4124.5</v>
      </c>
      <c r="F9" s="19">
        <f>'SIV DNA'!H9</f>
        <v>1290.8</v>
      </c>
      <c r="G9" s="19">
        <f>'SIV DNA'!I9</f>
        <v>1213</v>
      </c>
    </row>
    <row r="10" spans="1:19" x14ac:dyDescent="0.2">
      <c r="A10">
        <f>'Individual Parameters 1 2'!A10</f>
        <v>1</v>
      </c>
      <c r="B10">
        <f>'Individual Parameters 1 2'!B10</f>
        <v>8</v>
      </c>
      <c r="C10">
        <f>'Individual Parameters 1 2'!X10</f>
        <v>1.16587</v>
      </c>
      <c r="D10">
        <f>'Individual Parameters 1 2'!Y10</f>
        <v>1.23952</v>
      </c>
      <c r="E10" s="19"/>
      <c r="F10" s="19"/>
      <c r="G10" s="19"/>
    </row>
    <row r="11" spans="1:19" x14ac:dyDescent="0.2">
      <c r="A11">
        <f>'Individual Parameters 1 2'!A11</f>
        <v>1</v>
      </c>
      <c r="B11">
        <f>'Individual Parameters 1 2'!B11</f>
        <v>9</v>
      </c>
      <c r="C11">
        <f>'Individual Parameters 1 2'!X11</f>
        <v>0.119293</v>
      </c>
      <c r="D11">
        <f>'Individual Parameters 1 2'!Y11</f>
        <v>0.11718000000000001</v>
      </c>
      <c r="E11" s="19"/>
      <c r="F11" s="19"/>
      <c r="G11" s="19"/>
    </row>
    <row r="12" spans="1:19" x14ac:dyDescent="0.2">
      <c r="A12">
        <f>'Individual Parameters 1 2'!A12</f>
        <v>1</v>
      </c>
      <c r="B12">
        <f>'Individual Parameters 1 2'!B12</f>
        <v>10</v>
      </c>
      <c r="C12">
        <f>'Individual Parameters 1 2'!X12</f>
        <v>0.15182799999999999</v>
      </c>
      <c r="D12">
        <f>'Individual Parameters 1 2'!Y12</f>
        <v>0.14475199999999999</v>
      </c>
      <c r="E12" s="19"/>
      <c r="F12" s="19"/>
      <c r="G12" s="19"/>
    </row>
    <row r="13" spans="1:19" x14ac:dyDescent="0.2">
      <c r="A13">
        <f>'Individual Parameters 1 2'!A13</f>
        <v>1</v>
      </c>
      <c r="B13">
        <f>'Individual Parameters 1 2'!B13</f>
        <v>11</v>
      </c>
      <c r="C13">
        <f>'Individual Parameters 1 2'!X13</f>
        <v>0.90332199999999996</v>
      </c>
      <c r="D13">
        <f>'Individual Parameters 1 2'!Y13</f>
        <v>1.1935100000000001</v>
      </c>
      <c r="E13" s="19">
        <f>'SIV DNA'!G13</f>
        <v>361</v>
      </c>
      <c r="F13" s="19">
        <f>'SIV DNA'!H13</f>
        <v>896</v>
      </c>
      <c r="G13" s="19">
        <f>'SIV DNA'!I13</f>
        <v>452.3</v>
      </c>
    </row>
    <row r="14" spans="1:19" x14ac:dyDescent="0.2">
      <c r="A14">
        <f>'Individual Parameters 1 2'!A14</f>
        <v>1</v>
      </c>
      <c r="B14">
        <f>'Individual Parameters 1 2'!B14</f>
        <v>12</v>
      </c>
      <c r="C14">
        <f>'Individual Parameters 1 2'!X14</f>
        <v>0.40623500000000001</v>
      </c>
      <c r="D14">
        <f>'Individual Parameters 1 2'!Y14</f>
        <v>0.40154699999999999</v>
      </c>
      <c r="E14" s="19">
        <f>'SIV DNA'!G14</f>
        <v>306</v>
      </c>
      <c r="F14" s="19">
        <f>'SIV DNA'!H14</f>
        <v>1185</v>
      </c>
      <c r="G14" s="19">
        <f>'SIV DNA'!I14</f>
        <v>777.93129999999996</v>
      </c>
    </row>
    <row r="15" spans="1:19" x14ac:dyDescent="0.2">
      <c r="A15">
        <f>'Individual Parameters 1 2'!A15</f>
        <v>1</v>
      </c>
      <c r="B15">
        <f>'Individual Parameters 1 2'!B15</f>
        <v>13</v>
      </c>
      <c r="C15">
        <f>'Individual Parameters 1 2'!X15</f>
        <v>1.3492900000000001</v>
      </c>
      <c r="D15">
        <f>'Individual Parameters 1 2'!Y15</f>
        <v>1.3955200000000001</v>
      </c>
      <c r="E15" s="19">
        <f>'SIV DNA'!G15</f>
        <v>191</v>
      </c>
      <c r="F15" s="19">
        <f>'SIV DNA'!H15</f>
        <v>324</v>
      </c>
      <c r="G15" s="19">
        <f>'SIV DNA'!I15</f>
        <v>275.94880000000001</v>
      </c>
    </row>
    <row r="16" spans="1:19" x14ac:dyDescent="0.2">
      <c r="A16">
        <f>'Individual Parameters 1 2'!A16</f>
        <v>1</v>
      </c>
      <c r="B16">
        <f>'Individual Parameters 1 2'!B16</f>
        <v>14</v>
      </c>
      <c r="C16">
        <f>'Individual Parameters 1 2'!X16</f>
        <v>1.1425399999999999</v>
      </c>
      <c r="D16">
        <f>'Individual Parameters 1 2'!Y16</f>
        <v>1.3443400000000001</v>
      </c>
      <c r="E16" s="19">
        <f>'SIV DNA'!G16</f>
        <v>234</v>
      </c>
      <c r="F16" s="19">
        <f>'SIV DNA'!H16</f>
        <v>204</v>
      </c>
      <c r="G16" s="19">
        <f>'SIV DNA'!I16</f>
        <v>339.72879999999998</v>
      </c>
    </row>
    <row r="17" spans="1:19" x14ac:dyDescent="0.2">
      <c r="A17">
        <f>'Individual Parameters 1 2'!A17</f>
        <v>1</v>
      </c>
      <c r="B17">
        <f>'Individual Parameters 1 2'!B17</f>
        <v>15</v>
      </c>
      <c r="C17">
        <f>'Individual Parameters 1 2'!X17</f>
        <v>48.75</v>
      </c>
      <c r="D17">
        <f>'Individual Parameters 1 2'!Y17</f>
        <v>36.245199999999997</v>
      </c>
      <c r="E17" s="19">
        <f>'SIV DNA'!G17</f>
        <v>196</v>
      </c>
      <c r="F17" s="19">
        <f>'SIV DNA'!H17</f>
        <v>3</v>
      </c>
      <c r="G17" s="19">
        <f>'SIV DNA'!I17</f>
        <v>3</v>
      </c>
    </row>
    <row r="18" spans="1:19" x14ac:dyDescent="0.2">
      <c r="A18">
        <f>'Individual Parameters 1 2'!A18</f>
        <v>1</v>
      </c>
      <c r="B18">
        <f>'Individual Parameters 1 2'!B18</f>
        <v>16</v>
      </c>
      <c r="C18">
        <f>'Individual Parameters 1 2'!X18</f>
        <v>3.4202499999999998</v>
      </c>
      <c r="D18">
        <f>'Individual Parameters 1 2'!Y18</f>
        <v>3.1676299999999999</v>
      </c>
      <c r="E18" s="19">
        <f>'SIV DNA'!G18</f>
        <v>99</v>
      </c>
      <c r="F18" s="19">
        <f>'SIV DNA'!H18</f>
        <v>1389</v>
      </c>
      <c r="G18" s="19">
        <f>'SIV DNA'!I18</f>
        <v>362.80990000000003</v>
      </c>
      <c r="Q18" t="s">
        <v>79</v>
      </c>
      <c r="S18">
        <v>-0.44</v>
      </c>
    </row>
    <row r="19" spans="1:19" x14ac:dyDescent="0.2">
      <c r="A19">
        <f>'Individual Parameters 1 2'!A19</f>
        <v>1</v>
      </c>
      <c r="B19">
        <f>'Individual Parameters 1 2'!B19</f>
        <v>17</v>
      </c>
      <c r="C19">
        <f>'Individual Parameters 1 2'!X19</f>
        <v>1.0882700000000001</v>
      </c>
      <c r="D19">
        <f>'Individual Parameters 1 2'!Y19</f>
        <v>1.29281</v>
      </c>
      <c r="E19" s="19">
        <f>'SIV DNA'!G19</f>
        <v>130</v>
      </c>
      <c r="F19" s="19">
        <f>'SIV DNA'!H19</f>
        <v>329</v>
      </c>
      <c r="G19" s="19">
        <f>'SIV DNA'!I19</f>
        <v>66.627979999999994</v>
      </c>
      <c r="Q19" t="s">
        <v>80</v>
      </c>
      <c r="S19" s="17">
        <v>6.9999999999999999E-6</v>
      </c>
    </row>
    <row r="20" spans="1:19" x14ac:dyDescent="0.2">
      <c r="A20">
        <f>'Individual Parameters 1 2'!A20</f>
        <v>1</v>
      </c>
      <c r="B20">
        <f>'Individual Parameters 1 2'!B20</f>
        <v>18</v>
      </c>
      <c r="C20">
        <f>'Individual Parameters 1 2'!X20</f>
        <v>1.15384</v>
      </c>
      <c r="D20">
        <f>'Individual Parameters 1 2'!Y20</f>
        <v>1.13123</v>
      </c>
      <c r="E20" s="19">
        <f>'SIV DNA'!G20</f>
        <v>1010</v>
      </c>
      <c r="F20" s="19">
        <f>'SIV DNA'!H20</f>
        <v>608</v>
      </c>
      <c r="G20" s="19">
        <f>'SIV DNA'!I20</f>
        <v>801.72659999999996</v>
      </c>
    </row>
    <row r="21" spans="1:19" x14ac:dyDescent="0.2">
      <c r="A21">
        <f>'Individual Parameters 1 2'!A21</f>
        <v>1</v>
      </c>
      <c r="B21">
        <f>'Individual Parameters 1 2'!B21</f>
        <v>19</v>
      </c>
      <c r="C21">
        <f>'Individual Parameters 1 2'!X21</f>
        <v>42.853999999999999</v>
      </c>
      <c r="D21">
        <f>'Individual Parameters 1 2'!Y21</f>
        <v>29.169499999999999</v>
      </c>
      <c r="E21" s="19">
        <f>'SIV DNA'!G21</f>
        <v>3</v>
      </c>
      <c r="F21" s="19">
        <f>'SIV DNA'!H21</f>
        <v>9</v>
      </c>
      <c r="G21" s="19">
        <f>'SIV DNA'!I21</f>
        <v>3</v>
      </c>
    </row>
    <row r="22" spans="1:19" x14ac:dyDescent="0.2">
      <c r="A22">
        <f>'Individual Parameters 1 2'!A22</f>
        <v>1</v>
      </c>
      <c r="B22">
        <f>'Individual Parameters 1 2'!B22</f>
        <v>20</v>
      </c>
      <c r="C22">
        <f>'Individual Parameters 1 2'!X22</f>
        <v>1.78399</v>
      </c>
      <c r="D22">
        <f>'Individual Parameters 1 2'!Y22</f>
        <v>1.89706</v>
      </c>
      <c r="E22" s="19">
        <f>'SIV DNA'!G22</f>
        <v>230</v>
      </c>
      <c r="F22" s="19">
        <f>'SIV DNA'!H22</f>
        <v>71</v>
      </c>
      <c r="G22" s="19">
        <f>'SIV DNA'!I22</f>
        <v>301.59980000000002</v>
      </c>
    </row>
    <row r="23" spans="1:19" x14ac:dyDescent="0.2">
      <c r="A23">
        <f>'Individual Parameters 1 2'!A23</f>
        <v>1</v>
      </c>
      <c r="B23">
        <f>'Individual Parameters 1 2'!B23</f>
        <v>21</v>
      </c>
      <c r="C23">
        <f>'Individual Parameters 1 2'!X23</f>
        <v>1.1165700000000001</v>
      </c>
      <c r="D23">
        <f>'Individual Parameters 1 2'!Y23</f>
        <v>1.3083</v>
      </c>
      <c r="E23" s="19">
        <f>'SIV DNA'!G23</f>
        <v>98</v>
      </c>
      <c r="F23" s="19">
        <f>'SIV DNA'!H23</f>
        <v>140</v>
      </c>
      <c r="G23" s="19">
        <f>'SIV DNA'!I23</f>
        <v>343.50549999999998</v>
      </c>
      <c r="S23" t="s">
        <v>81</v>
      </c>
    </row>
    <row r="24" spans="1:19" x14ac:dyDescent="0.2">
      <c r="A24">
        <f>'Individual Parameters 1 2'!A24</f>
        <v>2</v>
      </c>
      <c r="B24">
        <f>'Individual Parameters 1 2'!B24</f>
        <v>5900</v>
      </c>
      <c r="C24">
        <f>'Individual Parameters 1 2'!X24</f>
        <v>0.62526700000000002</v>
      </c>
      <c r="D24">
        <f>'Individual Parameters 1 2'!Y24</f>
        <v>0.68652500000000005</v>
      </c>
      <c r="E24" s="19">
        <f>'SIV DNA'!G27</f>
        <v>3.0199517204020165</v>
      </c>
      <c r="F24" s="19">
        <f>'SIV DNA'!H27</f>
        <v>301.99517204020168</v>
      </c>
    </row>
    <row r="25" spans="1:19" x14ac:dyDescent="0.2">
      <c r="A25">
        <f>'Individual Parameters 1 2'!A25</f>
        <v>2</v>
      </c>
      <c r="B25">
        <f>'Individual Parameters 1 2'!B25</f>
        <v>5901</v>
      </c>
      <c r="C25">
        <f>'Individual Parameters 1 2'!X25</f>
        <v>0.27174100000000001</v>
      </c>
      <c r="D25">
        <f>'Individual Parameters 1 2'!Y25</f>
        <v>0.195079</v>
      </c>
      <c r="E25" s="19">
        <f>'SIV DNA'!G28</f>
        <v>575.43993733715706</v>
      </c>
      <c r="F25" s="19">
        <f>'SIV DNA'!H28</f>
        <v>7585.7757502918394</v>
      </c>
    </row>
    <row r="26" spans="1:19" x14ac:dyDescent="0.2">
      <c r="A26">
        <f>'Individual Parameters 1 2'!A26</f>
        <v>2</v>
      </c>
      <c r="B26">
        <f>'Individual Parameters 1 2'!B26</f>
        <v>5902</v>
      </c>
      <c r="C26">
        <f>'Individual Parameters 1 2'!X26</f>
        <v>0.24162</v>
      </c>
      <c r="D26">
        <f>'Individual Parameters 1 2'!Y26</f>
        <v>0.23528099999999999</v>
      </c>
      <c r="E26" s="19">
        <f>'SIV DNA'!G29</f>
        <v>3.0199517204020165</v>
      </c>
      <c r="F26" s="19">
        <f>'SIV DNA'!H29</f>
        <v>301.99517204020168</v>
      </c>
    </row>
    <row r="27" spans="1:19" x14ac:dyDescent="0.2">
      <c r="A27">
        <f>'Individual Parameters 1 2'!A27</f>
        <v>2</v>
      </c>
      <c r="B27">
        <f>'Individual Parameters 1 2'!B27</f>
        <v>5903</v>
      </c>
      <c r="C27">
        <f>'Individual Parameters 1 2'!X27</f>
        <v>0.279061</v>
      </c>
      <c r="D27">
        <f>'Individual Parameters 1 2'!Y27</f>
        <v>0.26503199999999999</v>
      </c>
      <c r="E27" s="19">
        <f>'SIV DNA'!G30</f>
        <v>223.87211385683412</v>
      </c>
      <c r="F27" s="19">
        <f>'SIV DNA'!H30</f>
        <v>2570.3957827688669</v>
      </c>
    </row>
    <row r="28" spans="1:19" x14ac:dyDescent="0.2">
      <c r="A28">
        <f>'Individual Parameters 1 2'!A28</f>
        <v>2</v>
      </c>
      <c r="B28">
        <f>'Individual Parameters 1 2'!B28</f>
        <v>5904</v>
      </c>
      <c r="C28">
        <f>'Individual Parameters 1 2'!X28</f>
        <v>0.53056999999999999</v>
      </c>
      <c r="D28">
        <f>'Individual Parameters 1 2'!Y28</f>
        <v>0.65491699999999997</v>
      </c>
      <c r="E28" s="19">
        <f>'SIV DNA'!G31</f>
        <v>3.0199517204020165</v>
      </c>
      <c r="F28" s="19">
        <f>'SIV DNA'!H31</f>
        <v>3.0199517204020165</v>
      </c>
    </row>
    <row r="29" spans="1:19" x14ac:dyDescent="0.2">
      <c r="A29">
        <f>'Individual Parameters 1 2'!A29</f>
        <v>2</v>
      </c>
      <c r="B29">
        <f>'Individual Parameters 1 2'!B29</f>
        <v>5905</v>
      </c>
      <c r="C29">
        <f>'Individual Parameters 1 2'!X29</f>
        <v>0.44774599999999998</v>
      </c>
      <c r="D29">
        <f>'Individual Parameters 1 2'!Y29</f>
        <v>0.519096</v>
      </c>
      <c r="E29" s="19">
        <f>'SIV DNA'!G32</f>
        <v>112.20184543019634</v>
      </c>
      <c r="F29" s="19">
        <f>'SIV DNA'!H32</f>
        <v>1318.2567385564089</v>
      </c>
    </row>
    <row r="30" spans="1:19" x14ac:dyDescent="0.2">
      <c r="A30">
        <f>'Individual Parameters 1 2'!A30</f>
        <v>2</v>
      </c>
      <c r="B30">
        <f>'Individual Parameters 1 2'!B30</f>
        <v>5906</v>
      </c>
      <c r="C30">
        <f>'Individual Parameters 1 2'!X30</f>
        <v>0.40309600000000001</v>
      </c>
      <c r="D30">
        <f>'Individual Parameters 1 2'!Y30</f>
        <v>0.359184</v>
      </c>
      <c r="E30" s="19">
        <f>'SIV DNA'!G33</f>
        <v>123.02687708123821</v>
      </c>
      <c r="F30" s="19">
        <f>'SIV DNA'!H33</f>
        <v>1621.8100973589308</v>
      </c>
    </row>
    <row r="31" spans="1:19" x14ac:dyDescent="0.2">
      <c r="A31">
        <f>'Individual Parameters 1 2'!A31</f>
        <v>2</v>
      </c>
      <c r="B31">
        <f>'Individual Parameters 1 2'!B31</f>
        <v>5907</v>
      </c>
      <c r="C31">
        <f>'Individual Parameters 1 2'!X31</f>
        <v>0.55591900000000005</v>
      </c>
      <c r="D31">
        <f>'Individual Parameters 1 2'!Y31</f>
        <v>0.68638100000000002</v>
      </c>
      <c r="E31" s="19">
        <f>'SIV DNA'!G34</f>
        <v>114.81536214968835</v>
      </c>
      <c r="F31" s="19">
        <f>'SIV DNA'!H34</f>
        <v>5011.8723362727324</v>
      </c>
    </row>
    <row r="32" spans="1:19" x14ac:dyDescent="0.2">
      <c r="A32">
        <f>'Individual Parameters 1 2'!A32</f>
        <v>2</v>
      </c>
      <c r="B32">
        <f>'Individual Parameters 1 2'!B32</f>
        <v>5908</v>
      </c>
      <c r="C32">
        <f>'Individual Parameters 1 2'!X32</f>
        <v>0.25806499999999999</v>
      </c>
      <c r="D32">
        <f>'Individual Parameters 1 2'!Y32</f>
        <v>0.33810699999999999</v>
      </c>
      <c r="E32" s="19">
        <f>'SIV DNA'!G35</f>
        <v>154.8816618912482</v>
      </c>
      <c r="F32" s="19">
        <f>'SIV DNA'!H35</f>
        <v>2187.7616239495528</v>
      </c>
    </row>
    <row r="33" spans="1:19" x14ac:dyDescent="0.2">
      <c r="A33">
        <f>'Individual Parameters 1 2'!A33</f>
        <v>2</v>
      </c>
      <c r="B33">
        <f>'Individual Parameters 1 2'!B33</f>
        <v>5892</v>
      </c>
      <c r="C33">
        <f>'Individual Parameters 1 2'!X33</f>
        <v>0.35197699999999998</v>
      </c>
      <c r="D33">
        <f>'Individual Parameters 1 2'!Y33</f>
        <v>0.40892000000000001</v>
      </c>
      <c r="E33" s="19">
        <f>'SIV DNA'!G37</f>
        <v>3.0199517204020165</v>
      </c>
      <c r="F33" s="19">
        <f>'SIV DNA'!H37</f>
        <v>3.0199517204020165</v>
      </c>
      <c r="Q33" t="s">
        <v>79</v>
      </c>
      <c r="S33">
        <v>-0.78</v>
      </c>
    </row>
    <row r="34" spans="1:19" x14ac:dyDescent="0.2">
      <c r="A34">
        <f>'Individual Parameters 1 2'!A34</f>
        <v>2</v>
      </c>
      <c r="B34">
        <f>'Individual Parameters 1 2'!B34</f>
        <v>5893</v>
      </c>
      <c r="C34">
        <f>'Individual Parameters 1 2'!X34</f>
        <v>0.56222799999999995</v>
      </c>
      <c r="D34">
        <f>'Individual Parameters 1 2'!Y34</f>
        <v>0.770262</v>
      </c>
      <c r="E34" s="19">
        <f>'SIV DNA'!G38</f>
        <v>181.9700858609983</v>
      </c>
      <c r="F34" s="19">
        <f>'SIV DNA'!H38</f>
        <v>1737.8008287493772</v>
      </c>
      <c r="Q34" t="s">
        <v>80</v>
      </c>
      <c r="S34" s="17">
        <v>1E-4</v>
      </c>
    </row>
    <row r="35" spans="1:19" x14ac:dyDescent="0.2">
      <c r="A35">
        <f>'Individual Parameters 1 2'!A35</f>
        <v>2</v>
      </c>
      <c r="B35">
        <f>'Individual Parameters 1 2'!B35</f>
        <v>5894</v>
      </c>
      <c r="C35">
        <f>'Individual Parameters 1 2'!X35</f>
        <v>0.28057399999999999</v>
      </c>
      <c r="D35">
        <f>'Individual Parameters 1 2'!Y35</f>
        <v>0.27193200000000001</v>
      </c>
      <c r="E35" s="19">
        <f>'SIV DNA'!G39</f>
        <v>3.0199517204020165</v>
      </c>
      <c r="F35" s="19">
        <f>'SIV DNA'!H39</f>
        <v>4265.7951880159299</v>
      </c>
    </row>
    <row r="36" spans="1:19" x14ac:dyDescent="0.2">
      <c r="A36">
        <f>'Individual Parameters 1 2'!A36</f>
        <v>2</v>
      </c>
      <c r="B36">
        <f>'Individual Parameters 1 2'!B36</f>
        <v>5895</v>
      </c>
      <c r="C36">
        <f>'Individual Parameters 1 2'!X36</f>
        <v>0.344476</v>
      </c>
      <c r="D36">
        <f>'Individual Parameters 1 2'!Y36</f>
        <v>0.386822</v>
      </c>
      <c r="E36" s="19">
        <f>'SIV DNA'!G40</f>
        <v>3.0199517204020165</v>
      </c>
      <c r="F36" s="19">
        <f>'SIV DNA'!H40</f>
        <v>912.01083935590987</v>
      </c>
    </row>
    <row r="37" spans="1:19" x14ac:dyDescent="0.2">
      <c r="A37">
        <f>'Individual Parameters 1 2'!A37</f>
        <v>2</v>
      </c>
      <c r="B37">
        <f>'Individual Parameters 1 2'!B37</f>
        <v>5896</v>
      </c>
      <c r="C37">
        <f>'Individual Parameters 1 2'!X37</f>
        <v>0.25773099999999999</v>
      </c>
      <c r="D37">
        <f>'Individual Parameters 1 2'!Y37</f>
        <v>0.30949500000000002</v>
      </c>
      <c r="E37" s="19">
        <f>'SIV DNA'!G41</f>
        <v>3.0199517204020165</v>
      </c>
      <c r="F37" s="19">
        <f>'SIV DNA'!H41</f>
        <v>3.0199517204020165</v>
      </c>
    </row>
    <row r="38" spans="1:19" x14ac:dyDescent="0.2">
      <c r="A38">
        <f>'Individual Parameters 1 2'!A38</f>
        <v>2</v>
      </c>
      <c r="B38">
        <f>'Individual Parameters 1 2'!B38</f>
        <v>5897</v>
      </c>
      <c r="C38">
        <f>'Individual Parameters 1 2'!X38</f>
        <v>0.40912599999999999</v>
      </c>
      <c r="D38">
        <f>'Individual Parameters 1 2'!Y38</f>
        <v>0.56413199999999997</v>
      </c>
      <c r="E38" s="19">
        <f>'SIV DNA'!G42</f>
        <v>891.25093813374656</v>
      </c>
      <c r="F38" s="19">
        <f>'SIV DNA'!H42</f>
        <v>3.0199517204020165</v>
      </c>
    </row>
    <row r="39" spans="1:19" x14ac:dyDescent="0.2">
      <c r="A39">
        <f>'Individual Parameters 1 2'!A39</f>
        <v>2</v>
      </c>
      <c r="B39">
        <f>'Individual Parameters 1 2'!B39</f>
        <v>5898</v>
      </c>
      <c r="C39">
        <f>'Individual Parameters 1 2'!X39</f>
        <v>0.29801100000000003</v>
      </c>
      <c r="D39">
        <f>'Individual Parameters 1 2'!Y39</f>
        <v>0.22791</v>
      </c>
      <c r="E39" s="19">
        <f>'SIV DNA'!G43</f>
        <v>407.38027780411272</v>
      </c>
      <c r="F39" s="19">
        <f>'SIV DNA'!H43</f>
        <v>3.0199517204020165</v>
      </c>
    </row>
    <row r="40" spans="1:19" x14ac:dyDescent="0.2">
      <c r="A40">
        <f>'Individual Parameters 1 2'!A40</f>
        <v>2</v>
      </c>
      <c r="B40">
        <f>'Individual Parameters 1 2'!B40</f>
        <v>5899</v>
      </c>
      <c r="C40">
        <f>'Individual Parameters 1 2'!X40</f>
        <v>0.29358899999999999</v>
      </c>
      <c r="D40">
        <f>'Individual Parameters 1 2'!Y40</f>
        <v>0.203599</v>
      </c>
      <c r="E40" s="19">
        <f>'SIV DNA'!G44</f>
        <v>162.18100973589304</v>
      </c>
      <c r="F40" s="19">
        <f>'SIV DNA'!H44</f>
        <v>2511.8864315095811</v>
      </c>
    </row>
    <row r="41" spans="1:19" x14ac:dyDescent="0.2">
      <c r="A41">
        <f>'Individual Parameters 1 2'!A41</f>
        <v>2</v>
      </c>
      <c r="B41">
        <f>'Individual Parameters 1 2'!B41</f>
        <v>5872</v>
      </c>
      <c r="C41">
        <f>'Individual Parameters 1 2'!X41</f>
        <v>1.1566000000000001</v>
      </c>
      <c r="D41">
        <f>'Individual Parameters 1 2'!Y41</f>
        <v>1.37087</v>
      </c>
      <c r="E41" s="19">
        <f>'SIV DNA'!G45</f>
        <v>3.0199517204020165</v>
      </c>
      <c r="F41" s="19">
        <f>'SIV DNA'!H45</f>
        <v>3.0199517204020165</v>
      </c>
    </row>
    <row r="42" spans="1:19" x14ac:dyDescent="0.2">
      <c r="A42">
        <f>'Individual Parameters 1 2'!A42</f>
        <v>2</v>
      </c>
      <c r="B42">
        <f>'Individual Parameters 1 2'!B42</f>
        <v>5873</v>
      </c>
      <c r="C42">
        <f>'Individual Parameters 1 2'!X42</f>
        <v>0.879112</v>
      </c>
      <c r="D42">
        <f>'Individual Parameters 1 2'!Y42</f>
        <v>0.96917900000000001</v>
      </c>
      <c r="E42" s="19">
        <f>'SIV DNA'!G46</f>
        <v>3.0199517204020165</v>
      </c>
      <c r="F42" s="19">
        <f>'SIV DNA'!H46</f>
        <v>3.0199517204020165</v>
      </c>
    </row>
    <row r="43" spans="1:19" x14ac:dyDescent="0.2">
      <c r="A43">
        <f>'Individual Parameters 1 2'!A43</f>
        <v>2</v>
      </c>
      <c r="B43">
        <f>'Individual Parameters 1 2'!B43</f>
        <v>5874</v>
      </c>
      <c r="C43">
        <f>'Individual Parameters 1 2'!X43</f>
        <v>0.75512000000000001</v>
      </c>
      <c r="D43">
        <f>'Individual Parameters 1 2'!Y43</f>
        <v>0.88795100000000005</v>
      </c>
      <c r="E43" s="19">
        <f>'SIV DNA'!G47</f>
        <v>3.0199517204020165</v>
      </c>
      <c r="F43" s="19">
        <f>'SIV DNA'!H47</f>
        <v>1096.4781961431863</v>
      </c>
    </row>
    <row r="44" spans="1:19" x14ac:dyDescent="0.2">
      <c r="A44">
        <f>'Individual Parameters 1 2'!A44</f>
        <v>2</v>
      </c>
      <c r="B44">
        <f>'Individual Parameters 1 2'!B44</f>
        <v>5875</v>
      </c>
      <c r="C44">
        <f>'Individual Parameters 1 2'!X44</f>
        <v>0.96670999999999996</v>
      </c>
      <c r="D44">
        <f>'Individual Parameters 1 2'!Y44</f>
        <v>0.89555200000000001</v>
      </c>
      <c r="E44" s="19">
        <f>'SIV DNA'!G48</f>
        <v>3.0199517204020165</v>
      </c>
      <c r="F44" s="19">
        <f>'SIV DNA'!H48</f>
        <v>3.0199517204020165</v>
      </c>
    </row>
    <row r="45" spans="1:19" x14ac:dyDescent="0.2">
      <c r="A45">
        <f>'Individual Parameters 1 2'!A45</f>
        <v>2</v>
      </c>
      <c r="B45">
        <f>'Individual Parameters 1 2'!B45</f>
        <v>5876</v>
      </c>
      <c r="C45">
        <f>'Individual Parameters 1 2'!X45</f>
        <v>1.4781</v>
      </c>
      <c r="D45">
        <f>'Individual Parameters 1 2'!Y45</f>
        <v>1.4915</v>
      </c>
      <c r="E45" s="19">
        <f>'SIV DNA'!G49</f>
        <v>3.0199517204020165</v>
      </c>
      <c r="F45" s="19">
        <f>'SIV DNA'!H49</f>
        <v>3.0199517204020165</v>
      </c>
    </row>
    <row r="46" spans="1:19" x14ac:dyDescent="0.2">
      <c r="A46">
        <f>'Individual Parameters 1 2'!A46</f>
        <v>2</v>
      </c>
      <c r="B46">
        <f>'Individual Parameters 1 2'!B46</f>
        <v>5877</v>
      </c>
      <c r="C46">
        <f>'Individual Parameters 1 2'!X46</f>
        <v>0.46338600000000002</v>
      </c>
      <c r="D46">
        <f>'Individual Parameters 1 2'!Y46</f>
        <v>0.48307099999999997</v>
      </c>
      <c r="E46" s="19">
        <f>'SIV DNA'!G50</f>
        <v>3.0199517204020165</v>
      </c>
      <c r="F46" s="19">
        <f>'SIV DNA'!H50</f>
        <v>3.0199517204020165</v>
      </c>
    </row>
    <row r="47" spans="1:19" x14ac:dyDescent="0.2">
      <c r="A47">
        <f>'Individual Parameters 1 2'!A47</f>
        <v>2</v>
      </c>
      <c r="B47">
        <f>'Individual Parameters 1 2'!B47</f>
        <v>5879</v>
      </c>
      <c r="C47">
        <f>'Individual Parameters 1 2'!X47</f>
        <v>1.8501700000000001</v>
      </c>
      <c r="D47">
        <f>'Individual Parameters 1 2'!Y47</f>
        <v>2.0175700000000001</v>
      </c>
      <c r="E47" s="19">
        <f>'SIV DNA'!G51</f>
        <v>3.0199517204020165</v>
      </c>
      <c r="F47" s="19">
        <f>'SIV DNA'!H51</f>
        <v>3.0199517204020165</v>
      </c>
    </row>
    <row r="48" spans="1:19" x14ac:dyDescent="0.2">
      <c r="A48">
        <f>'Individual Parameters 1 2'!A48</f>
        <v>2</v>
      </c>
      <c r="B48">
        <f>'Individual Parameters 1 2'!B48</f>
        <v>5880</v>
      </c>
      <c r="C48">
        <f>'Individual Parameters 1 2'!X48</f>
        <v>0.70322600000000002</v>
      </c>
      <c r="D48">
        <f>'Individual Parameters 1 2'!Y48</f>
        <v>0.85127299999999995</v>
      </c>
      <c r="E48" s="19">
        <f>'SIV DNA'!G52</f>
        <v>3.0199517204020165</v>
      </c>
      <c r="F48" s="19">
        <f>'SIV DNA'!H52</f>
        <v>3.0199517204020165</v>
      </c>
    </row>
    <row r="49" spans="1:6" x14ac:dyDescent="0.2">
      <c r="A49">
        <f>'Individual Parameters 1 2'!A49</f>
        <v>2</v>
      </c>
      <c r="B49">
        <f>'Individual Parameters 1 2'!B49</f>
        <v>5881</v>
      </c>
      <c r="C49">
        <f>'Individual Parameters 1 2'!X49</f>
        <v>0.99551100000000003</v>
      </c>
      <c r="D49">
        <f>'Individual Parameters 1 2'!Y49</f>
        <v>1.16354</v>
      </c>
      <c r="E49" s="19">
        <f>'SIV DNA'!G53</f>
        <v>3.0199517204020165</v>
      </c>
      <c r="F49" s="19">
        <f>'SIV DNA'!H53</f>
        <v>3.0199517204020165</v>
      </c>
    </row>
    <row r="50" spans="1:6" x14ac:dyDescent="0.2">
      <c r="A50">
        <f>'Individual Parameters 1 2'!A50</f>
        <v>2</v>
      </c>
      <c r="B50">
        <f>'Individual Parameters 1 2'!B50</f>
        <v>5882</v>
      </c>
      <c r="C50">
        <f>'Individual Parameters 1 2'!X50</f>
        <v>3.61591</v>
      </c>
      <c r="D50">
        <f>'Individual Parameters 1 2'!Y50</f>
        <v>3.24709</v>
      </c>
      <c r="E50" s="19">
        <f>'SIV DNA'!G54</f>
        <v>3.0199517204020165</v>
      </c>
      <c r="F50" s="19">
        <f>'SIV DNA'!H54</f>
        <v>3.0199517204020165</v>
      </c>
    </row>
    <row r="51" spans="1:6" x14ac:dyDescent="0.2">
      <c r="A51">
        <f>'Individual Parameters 1 2'!A51</f>
        <v>2</v>
      </c>
      <c r="B51">
        <f>'Individual Parameters 1 2'!B51</f>
        <v>5883</v>
      </c>
      <c r="C51">
        <f>'Individual Parameters 1 2'!X51</f>
        <v>0.82682699999999998</v>
      </c>
      <c r="D51">
        <f>'Individual Parameters 1 2'!Y51</f>
        <v>0.82167599999999996</v>
      </c>
      <c r="E51" s="19">
        <f>'SIV DNA'!G55</f>
        <v>3.0199517204020165</v>
      </c>
      <c r="F51" s="19">
        <f>'SIV DNA'!H55</f>
        <v>3.0199517204020165</v>
      </c>
    </row>
    <row r="52" spans="1:6" x14ac:dyDescent="0.2">
      <c r="A52">
        <f>'Individual Parameters 1 2'!A52</f>
        <v>2</v>
      </c>
      <c r="B52">
        <f>'Individual Parameters 1 2'!B52</f>
        <v>5884</v>
      </c>
      <c r="C52">
        <f>'Individual Parameters 1 2'!X52</f>
        <v>0.83760400000000002</v>
      </c>
      <c r="D52">
        <f>'Individual Parameters 1 2'!Y52</f>
        <v>0.86501099999999997</v>
      </c>
      <c r="E52" s="19">
        <f>'SIV DNA'!G56</f>
        <v>3.0199517204020165</v>
      </c>
      <c r="F52" s="19">
        <f>'SIV DNA'!H56</f>
        <v>3.0199517204020165</v>
      </c>
    </row>
    <row r="53" spans="1:6" x14ac:dyDescent="0.2">
      <c r="A53">
        <f>'Individual Parameters 1 2'!A53</f>
        <v>2</v>
      </c>
      <c r="B53">
        <f>'Individual Parameters 1 2'!B53</f>
        <v>5886</v>
      </c>
      <c r="C53">
        <f>'Individual Parameters 1 2'!X53</f>
        <v>0.76910699999999999</v>
      </c>
      <c r="D53">
        <f>'Individual Parameters 1 2'!Y53</f>
        <v>0.76663400000000004</v>
      </c>
      <c r="E53" s="19">
        <f>'SIV DNA'!G58</f>
        <v>181.9700858609983</v>
      </c>
      <c r="F53" s="19">
        <f>'SIV DNA'!H58</f>
        <v>1258.925411794168</v>
      </c>
    </row>
    <row r="54" spans="1:6" x14ac:dyDescent="0.2">
      <c r="A54">
        <f>'Individual Parameters 1 2'!A54</f>
        <v>2</v>
      </c>
      <c r="B54">
        <f>'Individual Parameters 1 2'!B54</f>
        <v>5887</v>
      </c>
      <c r="C54">
        <f>'Individual Parameters 1 2'!X54</f>
        <v>1.59141</v>
      </c>
      <c r="D54">
        <f>'Individual Parameters 1 2'!Y54</f>
        <v>1.5221</v>
      </c>
      <c r="E54" s="19">
        <f>'SIV DNA'!G59</f>
        <v>3.0199517204020165</v>
      </c>
      <c r="F54" s="19">
        <f>'SIV DNA'!H59</f>
        <v>3.0199517204020165</v>
      </c>
    </row>
    <row r="55" spans="1:6" x14ac:dyDescent="0.2">
      <c r="A55">
        <f>'Individual Parameters 1 2'!A55</f>
        <v>2</v>
      </c>
      <c r="B55">
        <f>'Individual Parameters 1 2'!B55</f>
        <v>5888</v>
      </c>
      <c r="C55">
        <f>'Individual Parameters 1 2'!X55</f>
        <v>3.2716400000000001</v>
      </c>
      <c r="D55">
        <f>'Individual Parameters 1 2'!Y55</f>
        <v>3.4613499999999999</v>
      </c>
      <c r="E55" s="19">
        <f>'SIV DNA'!G60</f>
        <v>3.0199517204020165</v>
      </c>
      <c r="F55" s="19">
        <f>'SIV DNA'!H60</f>
        <v>3.0199517204020165</v>
      </c>
    </row>
    <row r="56" spans="1:6" x14ac:dyDescent="0.2">
      <c r="A56">
        <f>'Individual Parameters 1 2'!A56</f>
        <v>2</v>
      </c>
      <c r="B56">
        <f>'Individual Parameters 1 2'!B56</f>
        <v>5889</v>
      </c>
      <c r="C56">
        <f>'Individual Parameters 1 2'!X56</f>
        <v>2.7224499999999998</v>
      </c>
      <c r="D56">
        <f>'Individual Parameters 1 2'!Y56</f>
        <v>2.9060600000000001</v>
      </c>
      <c r="E56" s="19">
        <f>'SIV DNA'!G61</f>
        <v>81.283051616409963</v>
      </c>
      <c r="F56" s="19">
        <f>'SIV DNA'!H61</f>
        <v>1698.2436524617447</v>
      </c>
    </row>
    <row r="57" spans="1:6" x14ac:dyDescent="0.2">
      <c r="A57">
        <f>'Individual Parameters 1 2'!A57</f>
        <v>2</v>
      </c>
      <c r="B57">
        <f>'Individual Parameters 1 2'!B57</f>
        <v>5890</v>
      </c>
      <c r="C57">
        <f>'Individual Parameters 1 2'!X57</f>
        <v>5.2433500000000004</v>
      </c>
      <c r="D57">
        <f>'Individual Parameters 1 2'!Y57</f>
        <v>4.8145199999999999</v>
      </c>
      <c r="E57" s="19">
        <f>'SIV DNA'!G62</f>
        <v>3.0199517204020165</v>
      </c>
      <c r="F57" s="19">
        <f>'SIV DNA'!H62</f>
        <v>3.0199517204020165</v>
      </c>
    </row>
    <row r="58" spans="1:6" x14ac:dyDescent="0.2">
      <c r="A58">
        <f>'Individual Parameters S3'!A3</f>
        <v>3</v>
      </c>
      <c r="B58">
        <f>'Individual Parameters S3'!B3</f>
        <v>1</v>
      </c>
      <c r="C58">
        <f>'Individual Parameters S3'!X3</f>
        <v>2.7213400000000001</v>
      </c>
      <c r="D58">
        <f>'Individual Parameters S3'!Y3</f>
        <v>2.6995100000000001</v>
      </c>
      <c r="E58" s="19">
        <f>'SIV DNA'!G66</f>
        <v>2.9999982404594236</v>
      </c>
      <c r="F58" s="19">
        <f>'SIV DNA'!H66</f>
        <v>22.877522966151478</v>
      </c>
    </row>
    <row r="59" spans="1:6" x14ac:dyDescent="0.2">
      <c r="A59">
        <f>'Individual Parameters S3'!A4</f>
        <v>3</v>
      </c>
      <c r="B59">
        <f>'Individual Parameters S3'!B4</f>
        <v>2</v>
      </c>
      <c r="C59">
        <f>'Individual Parameters S3'!X4</f>
        <v>7.6154400000000004</v>
      </c>
      <c r="D59">
        <f>'Individual Parameters S3'!Y4</f>
        <v>7.0415799999999997</v>
      </c>
      <c r="E59" s="19">
        <f>'SIV DNA'!G67</f>
        <v>2.9999982404594236</v>
      </c>
      <c r="F59" s="19">
        <f>'SIV DNA'!H67</f>
        <v>23.205824315280147</v>
      </c>
    </row>
    <row r="60" spans="1:6" x14ac:dyDescent="0.2">
      <c r="A60">
        <f>'Individual Parameters S3'!A5</f>
        <v>3</v>
      </c>
      <c r="B60">
        <f>'Individual Parameters S3'!B5</f>
        <v>3</v>
      </c>
      <c r="C60">
        <f>'Individual Parameters S3'!X5</f>
        <v>2.6909299999999998</v>
      </c>
      <c r="D60">
        <f>'Individual Parameters S3'!Y5</f>
        <v>2.7211599999999998</v>
      </c>
      <c r="E60" s="19">
        <f>'SIV DNA'!G68</f>
        <v>2.9999982404594236</v>
      </c>
      <c r="F60" s="19">
        <f>'SIV DNA'!H68</f>
        <v>183.39901549403413</v>
      </c>
    </row>
    <row r="61" spans="1:6" x14ac:dyDescent="0.2">
      <c r="A61">
        <f>'Individual Parameters S3'!A6</f>
        <v>3</v>
      </c>
      <c r="B61">
        <f>'Individual Parameters S3'!B6</f>
        <v>4</v>
      </c>
      <c r="C61">
        <f>'Individual Parameters S3'!X6</f>
        <v>2.7805399999999998</v>
      </c>
      <c r="D61">
        <f>'Individual Parameters S3'!Y6</f>
        <v>2.9990600000000001</v>
      </c>
      <c r="E61" s="19">
        <f>'SIV DNA'!G69</f>
        <v>2.9999982404594236</v>
      </c>
      <c r="F61" s="19">
        <f>'SIV DNA'!H69</f>
        <v>2.9999982404594236</v>
      </c>
    </row>
    <row r="62" spans="1:6" x14ac:dyDescent="0.2">
      <c r="A62">
        <f>'Individual Parameters S3'!A7</f>
        <v>3</v>
      </c>
      <c r="B62">
        <f>'Individual Parameters S3'!B7</f>
        <v>5</v>
      </c>
      <c r="C62">
        <f>'Individual Parameters S3'!X7</f>
        <v>7.4293800000000001</v>
      </c>
      <c r="D62">
        <f>'Individual Parameters S3'!Y7</f>
        <v>8.4944799999999994</v>
      </c>
      <c r="E62" s="19">
        <f>'SIV DNA'!G70</f>
        <v>2.9999982404594236</v>
      </c>
      <c r="F62" s="19">
        <f>'SIV DNA'!H70</f>
        <v>2.9999982404594236</v>
      </c>
    </row>
    <row r="63" spans="1:6" x14ac:dyDescent="0.2">
      <c r="A63">
        <f>'Individual Parameters S3'!A8</f>
        <v>3</v>
      </c>
      <c r="B63">
        <f>'Individual Parameters S3'!B8</f>
        <v>6</v>
      </c>
      <c r="C63">
        <f>'Individual Parameters S3'!X8</f>
        <v>1.6079399999999999</v>
      </c>
      <c r="D63">
        <f>'Individual Parameters S3'!Y8</f>
        <v>1.6569199999999999</v>
      </c>
      <c r="E63" s="19">
        <f>'SIV DNA'!G71</f>
        <v>2.9999982404594236</v>
      </c>
      <c r="F63" s="19">
        <f>'SIV DNA'!H71</f>
        <v>61.469828295228105</v>
      </c>
    </row>
    <row r="64" spans="1:6" x14ac:dyDescent="0.2">
      <c r="A64">
        <f>'Individual Parameters S3'!A9</f>
        <v>3</v>
      </c>
      <c r="B64">
        <f>'Individual Parameters S3'!B9</f>
        <v>7</v>
      </c>
      <c r="C64">
        <f>'Individual Parameters S3'!X9</f>
        <v>11.212199999999999</v>
      </c>
      <c r="D64">
        <f>'Individual Parameters S3'!Y9</f>
        <v>11.722</v>
      </c>
      <c r="E64" s="19">
        <f>'SIV DNA'!G72</f>
        <v>2.9999982404594236</v>
      </c>
      <c r="F64" s="19">
        <f>'SIV DNA'!H72</f>
        <v>2.9999982404594236</v>
      </c>
    </row>
    <row r="65" spans="1:6" x14ac:dyDescent="0.2">
      <c r="A65">
        <f>'Individual Parameters S3'!A10</f>
        <v>3</v>
      </c>
      <c r="B65">
        <f>'Individual Parameters S3'!B10</f>
        <v>8</v>
      </c>
      <c r="C65">
        <f>'Individual Parameters S3'!X10</f>
        <v>4.1528400000000003</v>
      </c>
      <c r="D65">
        <f>'Individual Parameters S3'!Y10</f>
        <v>4.33169</v>
      </c>
      <c r="E65" s="19">
        <f>'SIV DNA'!G73</f>
        <v>2.9999982404594236</v>
      </c>
      <c r="F65" s="19">
        <f>'SIV DNA'!H73</f>
        <v>98.438276209565345</v>
      </c>
    </row>
    <row r="66" spans="1:6" x14ac:dyDescent="0.2">
      <c r="A66">
        <f>'Individual Parameters S3'!A11</f>
        <v>3</v>
      </c>
      <c r="B66">
        <f>'Individual Parameters S3'!B11</f>
        <v>9</v>
      </c>
      <c r="C66">
        <f>'Individual Parameters S3'!X11</f>
        <v>2.6193399999999998</v>
      </c>
      <c r="D66">
        <f>'Individual Parameters S3'!Y11</f>
        <v>2.6133000000000002</v>
      </c>
      <c r="E66" s="19">
        <f>'SIV DNA'!G74</f>
        <v>4.0394291948366829</v>
      </c>
      <c r="F66" s="19">
        <f>'SIV DNA'!H74</f>
        <v>2.9999982404594236</v>
      </c>
    </row>
    <row r="67" spans="1:6" x14ac:dyDescent="0.2">
      <c r="A67">
        <f>'Individual Parameters S3'!A12</f>
        <v>3</v>
      </c>
      <c r="B67">
        <f>'Individual Parameters S3'!B12</f>
        <v>10</v>
      </c>
      <c r="C67">
        <f>'Individual Parameters S3'!X12</f>
        <v>1.77318</v>
      </c>
      <c r="D67">
        <f>'Individual Parameters S3'!Y12</f>
        <v>1.7226300000000001</v>
      </c>
      <c r="E67" s="19">
        <f>'SIV DNA'!G75</f>
        <v>2.9999982404594236</v>
      </c>
      <c r="F67" s="19">
        <f>'SIV DNA'!H75</f>
        <v>57.623946691689689</v>
      </c>
    </row>
    <row r="68" spans="1:6" x14ac:dyDescent="0.2">
      <c r="A68">
        <f>'Individual Parameters S3'!A13</f>
        <v>3</v>
      </c>
      <c r="B68">
        <f>'Individual Parameters S3'!B13</f>
        <v>11</v>
      </c>
      <c r="C68">
        <f>'Individual Parameters S3'!X13</f>
        <v>12.005100000000001</v>
      </c>
      <c r="D68">
        <f>'Individual Parameters S3'!Y13</f>
        <v>12.0405</v>
      </c>
      <c r="E68" s="19">
        <f>'SIV DNA'!G76</f>
        <v>2.9999982404594236</v>
      </c>
      <c r="F68" s="19">
        <f>'SIV DNA'!H76</f>
        <v>51.985473019222965</v>
      </c>
    </row>
    <row r="69" spans="1:6" x14ac:dyDescent="0.2">
      <c r="A69">
        <f>'Individual Parameters S3'!A14</f>
        <v>3</v>
      </c>
      <c r="B69">
        <f>'Individual Parameters S3'!B14</f>
        <v>12</v>
      </c>
      <c r="C69">
        <f>'Individual Parameters S3'!X14</f>
        <v>2.7125900000000001</v>
      </c>
      <c r="D69">
        <f>'Individual Parameters S3'!Y14</f>
        <v>2.6290300000000002</v>
      </c>
      <c r="E69" s="19">
        <f>'SIV DNA'!G77</f>
        <v>2.9999982404594236</v>
      </c>
      <c r="F69" s="19">
        <f>'SIV DNA'!H77</f>
        <v>90.870098748413255</v>
      </c>
    </row>
    <row r="70" spans="1:6" x14ac:dyDescent="0.2">
      <c r="A70">
        <f>'Individual Parameters S3'!A15</f>
        <v>3</v>
      </c>
      <c r="B70">
        <f>'Individual Parameters S3'!B15</f>
        <v>13</v>
      </c>
      <c r="C70">
        <f>'Individual Parameters S3'!X15</f>
        <v>5.9672299999999998</v>
      </c>
      <c r="D70">
        <f>'Individual Parameters S3'!Y15</f>
        <v>6.4189699999999998</v>
      </c>
      <c r="E70" s="19">
        <f>'SIV DNA'!G78</f>
        <v>2.9999982404594236</v>
      </c>
      <c r="F70" s="19">
        <f>'SIV DNA'!H78</f>
        <v>31.220007280226508</v>
      </c>
    </row>
    <row r="71" spans="1:6" x14ac:dyDescent="0.2">
      <c r="A71">
        <f>'Individual Parameters S3'!A16</f>
        <v>3</v>
      </c>
      <c r="B71">
        <f>'Individual Parameters S3'!B16</f>
        <v>14</v>
      </c>
      <c r="C71">
        <f>'Individual Parameters S3'!X16</f>
        <v>2.6346099999999999</v>
      </c>
      <c r="D71">
        <f>'Individual Parameters S3'!Y16</f>
        <v>2.59755</v>
      </c>
      <c r="E71" s="19">
        <f>'SIV DNA'!G79</f>
        <v>2.9999982404594236</v>
      </c>
      <c r="F71" s="19">
        <f>'SIV DNA'!H79</f>
        <v>33.197929628456023</v>
      </c>
    </row>
    <row r="72" spans="1:6" x14ac:dyDescent="0.2">
      <c r="A72">
        <f>'Individual Parameters S3'!A17</f>
        <v>3</v>
      </c>
      <c r="B72">
        <f>'Individual Parameters S3'!B17</f>
        <v>15</v>
      </c>
      <c r="C72">
        <f>'Individual Parameters S3'!X17</f>
        <v>1.5685899999999999</v>
      </c>
      <c r="D72">
        <f>'Individual Parameters S3'!Y17</f>
        <v>1.7645200000000001</v>
      </c>
      <c r="E72" s="19">
        <f>'SIV DNA'!G80</f>
        <v>2.9999982404594236</v>
      </c>
      <c r="F72" s="19">
        <f>'SIV DNA'!H80</f>
        <v>92.935149092831679</v>
      </c>
    </row>
    <row r="73" spans="1:6" x14ac:dyDescent="0.2">
      <c r="A73">
        <f>'Individual Parameters S3'!A18</f>
        <v>3</v>
      </c>
      <c r="B73">
        <f>'Individual Parameters S3'!B18</f>
        <v>16</v>
      </c>
      <c r="C73">
        <f>'Individual Parameters S3'!X18</f>
        <v>10.647399999999999</v>
      </c>
      <c r="D73">
        <f>'Individual Parameters S3'!Y18</f>
        <v>10.2849</v>
      </c>
      <c r="E73" s="19">
        <f>'SIV DNA'!G81</f>
        <v>20.315241994736443</v>
      </c>
      <c r="F73" s="19">
        <f>'SIV DNA'!H81</f>
        <v>150.78321531152775</v>
      </c>
    </row>
    <row r="74" spans="1:6" x14ac:dyDescent="0.2">
      <c r="A74">
        <f>'Individual Parameters S3'!A19</f>
        <v>3</v>
      </c>
      <c r="B74">
        <f>'Individual Parameters S3'!B19</f>
        <v>17</v>
      </c>
      <c r="C74">
        <f>'Individual Parameters S3'!X19</f>
        <v>6.1308800000000003</v>
      </c>
      <c r="D74">
        <f>'Individual Parameters S3'!Y19</f>
        <v>6.4002100000000004</v>
      </c>
      <c r="E74" s="19">
        <f>'SIV DNA'!G82</f>
        <v>2.9999982404594236</v>
      </c>
      <c r="F74" s="19">
        <f>'SIV DNA'!H82</f>
        <v>2.9999982404594236</v>
      </c>
    </row>
    <row r="75" spans="1:6" x14ac:dyDescent="0.2">
      <c r="A75">
        <f>'Individual Parameters S3'!A20</f>
        <v>3</v>
      </c>
      <c r="B75">
        <f>'Individual Parameters S3'!B20</f>
        <v>18</v>
      </c>
      <c r="C75">
        <f>'Individual Parameters S3'!X20</f>
        <v>5.5030200000000002</v>
      </c>
      <c r="D75">
        <f>'Individual Parameters S3'!Y20</f>
        <v>3.27373</v>
      </c>
      <c r="E75" s="19">
        <f>'SIV DNA'!G83</f>
        <v>2.9999982404594236</v>
      </c>
      <c r="F75" s="19">
        <f>'SIV DNA'!H83</f>
        <v>2.9999982404594236</v>
      </c>
    </row>
    <row r="76" spans="1:6" x14ac:dyDescent="0.2">
      <c r="A76">
        <f>'Individual Parameters S3'!A21</f>
        <v>3</v>
      </c>
      <c r="B76">
        <f>'Individual Parameters S3'!B21</f>
        <v>19</v>
      </c>
      <c r="C76">
        <f>'Individual Parameters S3'!X21</f>
        <v>1.4710700000000001</v>
      </c>
      <c r="D76">
        <f>'Individual Parameters S3'!Y21</f>
        <v>1.63287</v>
      </c>
      <c r="E76" s="19">
        <f>'SIV DNA'!G84</f>
        <v>2.9999982404594236</v>
      </c>
      <c r="F76" s="19">
        <f>'SIV DNA'!H84</f>
        <v>81.368441918760794</v>
      </c>
    </row>
    <row r="77" spans="1:6" x14ac:dyDescent="0.2">
      <c r="A77">
        <f>'Individual Parameters S3'!A22</f>
        <v>3</v>
      </c>
      <c r="B77">
        <f>'Individual Parameters S3'!B22</f>
        <v>20</v>
      </c>
      <c r="C77">
        <f>'Individual Parameters S3'!X22</f>
        <v>1.56559</v>
      </c>
      <c r="D77">
        <f>'Individual Parameters S3'!Y22</f>
        <v>1.7598100000000001</v>
      </c>
      <c r="E77" s="19">
        <f>'SIV DNA'!G85</f>
        <v>2.9999982404594236</v>
      </c>
      <c r="F77" s="19">
        <f>'SIV DNA'!H85</f>
        <v>31.239854321738992</v>
      </c>
    </row>
    <row r="78" spans="1:6" x14ac:dyDescent="0.2">
      <c r="A78">
        <f>'Individual Parameters S3'!A23</f>
        <v>3</v>
      </c>
      <c r="B78">
        <f>'Individual Parameters S3'!B23</f>
        <v>21</v>
      </c>
      <c r="C78">
        <f>'Individual Parameters S3'!X23</f>
        <v>2.7182200000000001</v>
      </c>
      <c r="D78">
        <f>'Individual Parameters S3'!Y23</f>
        <v>2.8461699999999999</v>
      </c>
      <c r="E78" s="19">
        <f>'SIV DNA'!G86</f>
        <v>2.9999982404594236</v>
      </c>
      <c r="F78" s="19">
        <f>'SIV DNA'!H86</f>
        <v>22.780172059599916</v>
      </c>
    </row>
    <row r="79" spans="1:6" x14ac:dyDescent="0.2">
      <c r="A79">
        <f>'Individual Parameters S3'!A24</f>
        <v>3</v>
      </c>
      <c r="B79">
        <f>'Individual Parameters S3'!B24</f>
        <v>22</v>
      </c>
      <c r="C79">
        <f>'Individual Parameters S3'!X24</f>
        <v>3.9412699999999998</v>
      </c>
      <c r="D79">
        <f>'Individual Parameters S3'!Y24</f>
        <v>4.4585499999999998</v>
      </c>
      <c r="E79" s="19">
        <f>'SIV DNA'!G87</f>
        <v>2.9999982404594236</v>
      </c>
      <c r="F79" s="19">
        <f>'SIV DNA'!H87</f>
        <v>2.9999982404594236</v>
      </c>
    </row>
    <row r="80" spans="1:6" x14ac:dyDescent="0.2">
      <c r="A80">
        <f>'Individual Parameters S3'!A25</f>
        <v>3</v>
      </c>
      <c r="B80">
        <f>'Individual Parameters S3'!B25</f>
        <v>23</v>
      </c>
      <c r="C80">
        <f>'Individual Parameters S3'!X25</f>
        <v>3.48685</v>
      </c>
      <c r="D80">
        <f>'Individual Parameters S3'!Y25</f>
        <v>3.8524799999999999</v>
      </c>
      <c r="E80" s="19">
        <f>'SIV DNA'!G88</f>
        <v>2.9999982404594236</v>
      </c>
      <c r="F80" s="19">
        <f>'SIV DNA'!H88</f>
        <v>2.9999982404594236</v>
      </c>
    </row>
    <row r="81" spans="1:6" x14ac:dyDescent="0.2">
      <c r="A81">
        <f>'Individual Parameters S3'!A26</f>
        <v>3</v>
      </c>
      <c r="B81">
        <f>'Individual Parameters S3'!B26</f>
        <v>24</v>
      </c>
      <c r="C81">
        <f>'Individual Parameters S3'!X26</f>
        <v>1.25054</v>
      </c>
      <c r="D81">
        <f>'Individual Parameters S3'!Y26</f>
        <v>1.0443800000000001</v>
      </c>
      <c r="E81" s="19">
        <f>'SIV DNA'!G89</f>
        <v>10.812646381821702</v>
      </c>
      <c r="F81" s="19">
        <f>'SIV DNA'!H89</f>
        <v>316.03195664434412</v>
      </c>
    </row>
    <row r="82" spans="1:6" x14ac:dyDescent="0.2">
      <c r="A82">
        <f>'Individual Parameters S3'!A27</f>
        <v>3</v>
      </c>
      <c r="B82">
        <f>'Individual Parameters S3'!B27</f>
        <v>25</v>
      </c>
      <c r="C82">
        <f>'Individual Parameters S3'!X27</f>
        <v>6.7507599999999996</v>
      </c>
      <c r="D82">
        <f>'Individual Parameters S3'!Y27</f>
        <v>6.3979100000000004</v>
      </c>
      <c r="E82" s="19">
        <f>'SIV DNA'!G90</f>
        <v>2.9999982404594236</v>
      </c>
      <c r="F82" s="19">
        <f>'SIV DNA'!H90</f>
        <v>2.9999982404594236</v>
      </c>
    </row>
    <row r="83" spans="1:6" x14ac:dyDescent="0.2">
      <c r="A83">
        <f>'Individual Parameters S3'!A28</f>
        <v>3</v>
      </c>
      <c r="B83">
        <f>'Individual Parameters S3'!B28</f>
        <v>26</v>
      </c>
      <c r="C83">
        <f>'Individual Parameters S3'!X28</f>
        <v>2.4540000000000002</v>
      </c>
      <c r="D83">
        <f>'Individual Parameters S3'!Y28</f>
        <v>2.83311</v>
      </c>
      <c r="E83" s="19">
        <f>'SIV DNA'!G91</f>
        <v>2.9999982404594236</v>
      </c>
      <c r="F83" s="19">
        <f>'SIV DNA'!H91</f>
        <v>2.9999982404594236</v>
      </c>
    </row>
    <row r="84" spans="1:6" x14ac:dyDescent="0.2">
      <c r="A84">
        <f>'Individual Parameters S3'!A29</f>
        <v>3</v>
      </c>
      <c r="B84">
        <f>'Individual Parameters S3'!B29</f>
        <v>27</v>
      </c>
      <c r="C84">
        <f>'Individual Parameters S3'!X29</f>
        <v>3.2589299999999999</v>
      </c>
      <c r="D84">
        <f>'Individual Parameters S3'!Y29</f>
        <v>4.2722199999999999</v>
      </c>
      <c r="E84" s="19">
        <f>'SIV DNA'!G92</f>
        <v>2.9999982404594236</v>
      </c>
      <c r="F84" s="19">
        <f>'SIV DNA'!H92</f>
        <v>304.48156277609348</v>
      </c>
    </row>
    <row r="85" spans="1:6" x14ac:dyDescent="0.2">
      <c r="A85">
        <f>'Individual Parameters S3'!A30</f>
        <v>3</v>
      </c>
      <c r="B85">
        <f>'Individual Parameters S3'!B30</f>
        <v>28</v>
      </c>
      <c r="C85">
        <f>'Individual Parameters S3'!X30</f>
        <v>7.17774</v>
      </c>
      <c r="D85">
        <f>'Individual Parameters S3'!Y30</f>
        <v>6.9997499999999997</v>
      </c>
      <c r="E85" s="19">
        <f>'SIV DNA'!G93</f>
        <v>2.9999982404594236</v>
      </c>
      <c r="F85" s="19">
        <f>'SIV DNA'!H93</f>
        <v>186.40604840304908</v>
      </c>
    </row>
    <row r="86" spans="1:6" x14ac:dyDescent="0.2">
      <c r="A86">
        <f>'Individual Parameters S3'!A31</f>
        <v>3</v>
      </c>
      <c r="B86">
        <f>'Individual Parameters S3'!B31</f>
        <v>29</v>
      </c>
      <c r="C86">
        <f>'Individual Parameters S3'!X31</f>
        <v>6.5874300000000003</v>
      </c>
      <c r="D86">
        <f>'Individual Parameters S3'!Y31</f>
        <v>6.8056299999999998</v>
      </c>
      <c r="E86" s="19">
        <f>'SIV DNA'!G94</f>
        <v>2.9999982404594236</v>
      </c>
      <c r="F86" s="19">
        <f>'SIV DNA'!H94</f>
        <v>2.9999982404594236</v>
      </c>
    </row>
    <row r="87" spans="1:6" x14ac:dyDescent="0.2">
      <c r="A87">
        <f>'Individual Parameters S3'!A32</f>
        <v>3</v>
      </c>
      <c r="B87">
        <f>'Individual Parameters S3'!B32</f>
        <v>30</v>
      </c>
      <c r="C87">
        <f>'Individual Parameters S3'!X32</f>
        <v>7.4641700000000002</v>
      </c>
      <c r="D87">
        <f>'Individual Parameters S3'!Y32</f>
        <v>9.3678600000000003</v>
      </c>
      <c r="E87" s="19">
        <f>'SIV DNA'!G95</f>
        <v>2.9999982404594236</v>
      </c>
      <c r="F87" s="19">
        <f>'SIV DNA'!H95</f>
        <v>2.9999982404594236</v>
      </c>
    </row>
    <row r="88" spans="1:6" x14ac:dyDescent="0.2">
      <c r="A88">
        <f>'Individual Parameters S3'!A33</f>
        <v>3</v>
      </c>
      <c r="B88">
        <f>'Individual Parameters S3'!B33</f>
        <v>31</v>
      </c>
      <c r="C88">
        <f>'Individual Parameters S3'!X33</f>
        <v>8.4907000000000004</v>
      </c>
      <c r="D88">
        <f>'Individual Parameters S3'!Y33</f>
        <v>3.3932099999999998</v>
      </c>
      <c r="E88" s="19">
        <f>'SIV DNA'!G96</f>
        <v>2.9999982404594236</v>
      </c>
      <c r="F88" s="19">
        <f>'SIV DNA'!H96</f>
        <v>2.9999982404594236</v>
      </c>
    </row>
    <row r="89" spans="1:6" x14ac:dyDescent="0.2">
      <c r="A89">
        <f>'Individual Parameters S3'!A34</f>
        <v>3</v>
      </c>
      <c r="B89">
        <f>'Individual Parameters S3'!B34</f>
        <v>32</v>
      </c>
      <c r="C89">
        <f>'Individual Parameters S3'!X34</f>
        <v>1.0376700000000001</v>
      </c>
      <c r="D89">
        <f>'Individual Parameters S3'!Y34</f>
        <v>1.06308</v>
      </c>
      <c r="E89" s="19">
        <f>'SIV DNA'!G97</f>
        <v>2.9999982404594236</v>
      </c>
      <c r="F89" s="19">
        <f>'SIV DNA'!H97</f>
        <v>237.93317505613885</v>
      </c>
    </row>
    <row r="90" spans="1:6" x14ac:dyDescent="0.2">
      <c r="A90">
        <f>'Individual Parameters S3'!A35</f>
        <v>3</v>
      </c>
      <c r="B90">
        <f>'Individual Parameters S3'!B35</f>
        <v>33</v>
      </c>
      <c r="C90">
        <f>'Individual Parameters S3'!X35</f>
        <v>1.08683</v>
      </c>
      <c r="D90">
        <f>'Individual Parameters S3'!Y35</f>
        <v>0.97250599999999998</v>
      </c>
      <c r="E90" s="19">
        <f>'SIV DNA'!G98</f>
        <v>2.9999982404594236</v>
      </c>
      <c r="F90" s="19">
        <f>'SIV DNA'!H98</f>
        <v>2.9999982404594236</v>
      </c>
    </row>
    <row r="91" spans="1:6" x14ac:dyDescent="0.2">
      <c r="A91">
        <f>'Individual Parameters S3'!A36</f>
        <v>3</v>
      </c>
      <c r="B91">
        <f>'Individual Parameters S3'!B36</f>
        <v>34</v>
      </c>
      <c r="C91">
        <f>'Individual Parameters S3'!X36</f>
        <v>5.5575799999999997</v>
      </c>
      <c r="D91">
        <f>'Individual Parameters S3'!Y36</f>
        <v>6.20838</v>
      </c>
      <c r="E91" s="19">
        <f>'SIV DNA'!G99</f>
        <v>2.9999982404594236</v>
      </c>
      <c r="F91" s="19">
        <f>'SIV DNA'!H99</f>
        <v>2.9999982404594236</v>
      </c>
    </row>
    <row r="92" spans="1:6" x14ac:dyDescent="0.2">
      <c r="A92">
        <f>'Individual Parameters S3'!A37</f>
        <v>3</v>
      </c>
      <c r="B92">
        <f>'Individual Parameters S3'!B37</f>
        <v>35</v>
      </c>
      <c r="C92">
        <f>'Individual Parameters S3'!X37</f>
        <v>5.7273300000000003</v>
      </c>
      <c r="D92">
        <f>'Individual Parameters S3'!Y37</f>
        <v>7.1895499999999997</v>
      </c>
      <c r="E92" s="19">
        <f>'SIV DNA'!G100</f>
        <v>2.9999982404594236</v>
      </c>
      <c r="F92" s="19">
        <f>'SIV DNA'!H100</f>
        <v>2.9999982404594236</v>
      </c>
    </row>
    <row r="93" spans="1:6" x14ac:dyDescent="0.2">
      <c r="A93">
        <f>'Individual Parameters S3'!A38</f>
        <v>3</v>
      </c>
      <c r="B93">
        <f>'Individual Parameters S3'!B38</f>
        <v>36</v>
      </c>
      <c r="C93">
        <f>'Individual Parameters S3'!X38</f>
        <v>5.3432300000000001</v>
      </c>
      <c r="D93">
        <f>'Individual Parameters S3'!Y38</f>
        <v>3.27122</v>
      </c>
      <c r="E93" s="19">
        <f>'SIV DNA'!G101</f>
        <v>2.9999982404594236</v>
      </c>
      <c r="F93" s="19">
        <f>'SIV DNA'!H101</f>
        <v>2.9999982404594236</v>
      </c>
    </row>
    <row r="94" spans="1:6" x14ac:dyDescent="0.2">
      <c r="A94">
        <f>'Individual Parameters S3'!A39</f>
        <v>3</v>
      </c>
      <c r="B94">
        <f>'Individual Parameters S3'!B39</f>
        <v>37</v>
      </c>
      <c r="C94">
        <f>'Individual Parameters S3'!X39</f>
        <v>5.6357299999999997</v>
      </c>
      <c r="D94">
        <f>'Individual Parameters S3'!Y39</f>
        <v>3.2704800000000001</v>
      </c>
      <c r="E94" s="19">
        <f>'SIV DNA'!G102</f>
        <v>2.9999982404594236</v>
      </c>
      <c r="F94" s="19">
        <f>'SIV DNA'!H102</f>
        <v>2.9999982404594236</v>
      </c>
    </row>
    <row r="95" spans="1:6" x14ac:dyDescent="0.2">
      <c r="A95">
        <f>'Individual Parameters S3'!A40</f>
        <v>3</v>
      </c>
      <c r="B95">
        <f>'Individual Parameters S3'!B40</f>
        <v>38</v>
      </c>
      <c r="C95">
        <f>'Individual Parameters S3'!X40</f>
        <v>1.2406200000000001</v>
      </c>
      <c r="D95">
        <f>'Individual Parameters S3'!Y40</f>
        <v>1.3418600000000001</v>
      </c>
      <c r="E95" s="19">
        <f>'SIV DNA'!G103</f>
        <v>2.9999982404594236</v>
      </c>
      <c r="F95" s="19">
        <f>'SIV DNA'!H103</f>
        <v>2.9999982404594236</v>
      </c>
    </row>
    <row r="96" spans="1:6" x14ac:dyDescent="0.2">
      <c r="A96">
        <f>'Individual Parameters S3'!A41</f>
        <v>3</v>
      </c>
      <c r="B96">
        <f>'Individual Parameters S3'!B41</f>
        <v>39</v>
      </c>
      <c r="C96">
        <f>'Individual Parameters S3'!X41</f>
        <v>1.9346399999999999</v>
      </c>
      <c r="D96">
        <f>'Individual Parameters S3'!Y41</f>
        <v>1.9620599999999999</v>
      </c>
      <c r="E96" s="19">
        <f>'SIV DNA'!G104</f>
        <v>2.9999982404594236</v>
      </c>
      <c r="F96" s="19">
        <f>'SIV DNA'!H104</f>
        <v>2.9999982404594236</v>
      </c>
    </row>
    <row r="97" spans="1:6" x14ac:dyDescent="0.2">
      <c r="A97">
        <f>'Individual Parameters S3'!A42</f>
        <v>3</v>
      </c>
      <c r="B97">
        <f>'Individual Parameters S3'!B42</f>
        <v>40</v>
      </c>
      <c r="C97">
        <f>'Individual Parameters S3'!X42</f>
        <v>1.2690600000000001</v>
      </c>
      <c r="D97">
        <f>'Individual Parameters S3'!Y42</f>
        <v>1.3397699999999999</v>
      </c>
      <c r="E97" s="19">
        <f>'SIV DNA'!G105</f>
        <v>2.9999982404594236</v>
      </c>
      <c r="F97" s="19">
        <f>'SIV DNA'!H105</f>
        <v>2.9999982404594236</v>
      </c>
    </row>
    <row r="98" spans="1:6" x14ac:dyDescent="0.2">
      <c r="A98">
        <f>'Individual Parameters S3'!A43</f>
        <v>3</v>
      </c>
      <c r="B98">
        <f>'Individual Parameters S3'!B43</f>
        <v>41</v>
      </c>
      <c r="C98">
        <f>'Individual Parameters S3'!X43</f>
        <v>5.6294000000000004</v>
      </c>
      <c r="D98">
        <f>'Individual Parameters S3'!Y43</f>
        <v>3.27068</v>
      </c>
      <c r="E98" s="19">
        <f>'SIV DNA'!G106</f>
        <v>2.9999982404594236</v>
      </c>
      <c r="F98" s="19">
        <f>'SIV DNA'!H106</f>
        <v>2.9999982404594236</v>
      </c>
    </row>
    <row r="99" spans="1:6" x14ac:dyDescent="0.2">
      <c r="A99">
        <f>'Individual Parameters S3'!A44</f>
        <v>3</v>
      </c>
      <c r="B99">
        <f>'Individual Parameters S3'!B44</f>
        <v>42</v>
      </c>
      <c r="C99">
        <f>'Individual Parameters S3'!X44</f>
        <v>5.8047199999999997</v>
      </c>
      <c r="D99">
        <f>'Individual Parameters S3'!Y44</f>
        <v>7.1704299999999996</v>
      </c>
      <c r="E99" s="19">
        <f>'SIV DNA'!G107</f>
        <v>2.9999982404594236</v>
      </c>
      <c r="F99" s="19">
        <f>'SIV DNA'!H107</f>
        <v>2.9999982404594236</v>
      </c>
    </row>
    <row r="100" spans="1:6" x14ac:dyDescent="0.2">
      <c r="A100">
        <f>'Individual Parameters S3'!A45</f>
        <v>3</v>
      </c>
      <c r="B100">
        <f>'Individual Parameters S3'!B45</f>
        <v>43</v>
      </c>
      <c r="C100">
        <f>'Individual Parameters S3'!X45</f>
        <v>5.3516300000000001</v>
      </c>
      <c r="D100">
        <f>'Individual Parameters S3'!Y45</f>
        <v>3.2699799999999999</v>
      </c>
      <c r="E100" s="19">
        <f>'SIV DNA'!G108</f>
        <v>2.9999982404594236</v>
      </c>
      <c r="F100" s="19">
        <f>'SIV DNA'!H108</f>
        <v>2.9999982404594236</v>
      </c>
    </row>
    <row r="101" spans="1:6" x14ac:dyDescent="0.2">
      <c r="A101">
        <f>'Individual Parameters S3'!A46</f>
        <v>3</v>
      </c>
      <c r="B101">
        <f>'Individual Parameters S3'!B46</f>
        <v>44</v>
      </c>
      <c r="C101">
        <f>'Individual Parameters S3'!X46</f>
        <v>5.42971</v>
      </c>
      <c r="D101">
        <f>'Individual Parameters S3'!Y46</f>
        <v>3.2711600000000001</v>
      </c>
      <c r="E101" s="19">
        <f>'SIV DNA'!G109</f>
        <v>2.9999982404594236</v>
      </c>
      <c r="F101" s="19">
        <f>'SIV DNA'!H109</f>
        <v>2.9999982404594236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23"/>
  <sheetViews>
    <sheetView tabSelected="1" topLeftCell="F1" workbookViewId="0">
      <selection activeCell="N21" sqref="N21"/>
    </sheetView>
  </sheetViews>
  <sheetFormatPr baseColWidth="10" defaultRowHeight="16" x14ac:dyDescent="0.2"/>
  <cols>
    <col min="5" max="5" width="19.42578125" customWidth="1"/>
    <col min="6" max="7" width="20.85546875" customWidth="1"/>
    <col min="14" max="14" width="18.140625" customWidth="1"/>
  </cols>
  <sheetData>
    <row r="2" spans="1:15" x14ac:dyDescent="0.2">
      <c r="A2" t="s">
        <v>0</v>
      </c>
      <c r="B2" t="s">
        <v>73</v>
      </c>
      <c r="C2" t="s">
        <v>83</v>
      </c>
      <c r="D2" t="s">
        <v>84</v>
      </c>
      <c r="E2" s="19" t="str">
        <f>'CD4'!G3</f>
        <v>Rebound Initial CD4</v>
      </c>
      <c r="F2" s="19" t="str">
        <f>'CD4'!H3</f>
        <v>Rebound Rel Initial CD4</v>
      </c>
      <c r="G2" s="24" t="str">
        <f>'CD4'!K3</f>
        <v>Activated (CD69+) CD4 at ART stop</v>
      </c>
    </row>
    <row r="3" spans="1:15" x14ac:dyDescent="0.2">
      <c r="A3">
        <f>'Individual Parameters 1 2'!A3</f>
        <v>1</v>
      </c>
      <c r="B3">
        <f>'Individual Parameters 1 2'!B3</f>
        <v>1</v>
      </c>
      <c r="C3">
        <f>'Individual Parameters 1 2'!H3</f>
        <v>122.22</v>
      </c>
      <c r="D3">
        <f>'Individual Parameters 1 2'!I3</f>
        <v>124.023</v>
      </c>
      <c r="E3" s="19">
        <f>'CD4'!G4</f>
        <v>918.16000000000008</v>
      </c>
      <c r="F3" s="20">
        <f>'CD4'!H4</f>
        <v>0.5215158813104922</v>
      </c>
      <c r="G3" s="24">
        <f>'CD4'!K4</f>
        <v>0.54400000000000004</v>
      </c>
      <c r="N3" t="s">
        <v>99</v>
      </c>
      <c r="O3" s="25">
        <f>CORREL(D3:D23,E3:E23)</f>
        <v>0.23817708118746031</v>
      </c>
    </row>
    <row r="4" spans="1:15" x14ac:dyDescent="0.2">
      <c r="A4">
        <f>'Individual Parameters 1 2'!A4</f>
        <v>1</v>
      </c>
      <c r="B4">
        <f>'Individual Parameters 1 2'!B4</f>
        <v>2</v>
      </c>
      <c r="C4">
        <f>'Individual Parameters 1 2'!H4</f>
        <v>106.474</v>
      </c>
      <c r="D4">
        <f>'Individual Parameters 1 2'!I4</f>
        <v>114.355</v>
      </c>
      <c r="E4" s="19">
        <f>'CD4'!G5</f>
        <v>930.26</v>
      </c>
      <c r="F4" s="20">
        <f>'CD4'!H5</f>
        <v>1.2620539953873287</v>
      </c>
      <c r="G4" s="24">
        <f>'CD4'!K5</f>
        <v>1.37</v>
      </c>
      <c r="N4" t="s">
        <v>86</v>
      </c>
      <c r="O4" s="25">
        <f>O3*SQRT(18)/SQRT(1-O3^2)</f>
        <v>1.040441877015279</v>
      </c>
    </row>
    <row r="5" spans="1:15" x14ac:dyDescent="0.2">
      <c r="A5">
        <f>'Individual Parameters 1 2'!A5</f>
        <v>1</v>
      </c>
      <c r="B5">
        <f>'Individual Parameters 1 2'!B5</f>
        <v>3</v>
      </c>
      <c r="C5">
        <f>'Individual Parameters 1 2'!H5</f>
        <v>114.054</v>
      </c>
      <c r="D5">
        <f>'Individual Parameters 1 2'!I5</f>
        <v>112.717</v>
      </c>
      <c r="E5" s="19">
        <f>'CD4'!G6</f>
        <v>1591.6499999999999</v>
      </c>
      <c r="F5" s="20">
        <f>'CD4'!H6</f>
        <v>1.0231085684900687</v>
      </c>
      <c r="G5" s="24">
        <f>'CD4'!K6</f>
        <v>0.42799999999999999</v>
      </c>
      <c r="N5" t="s">
        <v>87</v>
      </c>
      <c r="O5" s="25">
        <f>_xlfn.T.DIST.2T(O4,18)</f>
        <v>0.31190906423626857</v>
      </c>
    </row>
    <row r="6" spans="1:15" x14ac:dyDescent="0.2">
      <c r="A6">
        <f>'Individual Parameters 1 2'!A6</f>
        <v>1</v>
      </c>
      <c r="B6">
        <f>'Individual Parameters 1 2'!B6</f>
        <v>4</v>
      </c>
      <c r="C6">
        <f>'Individual Parameters 1 2'!H6</f>
        <v>120.70399999999999</v>
      </c>
      <c r="D6">
        <f>'Individual Parameters 1 2'!I6</f>
        <v>112.684</v>
      </c>
      <c r="E6" s="19">
        <f>'CD4'!G7</f>
        <v>904.75</v>
      </c>
      <c r="F6" s="20">
        <f>'CD4'!H7</f>
        <v>0.59745499689633774</v>
      </c>
      <c r="G6" s="24">
        <f>'CD4'!K7</f>
        <v>0.65500000000000003</v>
      </c>
    </row>
    <row r="7" spans="1:15" x14ac:dyDescent="0.2">
      <c r="A7">
        <f>'Individual Parameters 1 2'!A7</f>
        <v>1</v>
      </c>
      <c r="B7">
        <f>'Individual Parameters 1 2'!B7</f>
        <v>5</v>
      </c>
      <c r="C7">
        <f>'Individual Parameters 1 2'!H7</f>
        <v>63.308199999999999</v>
      </c>
      <c r="D7">
        <f>'Individual Parameters 1 2'!I7</f>
        <v>62.5458</v>
      </c>
      <c r="E7" s="19">
        <f>'CD4'!G8</f>
        <v>472</v>
      </c>
      <c r="F7" s="20">
        <f>'CD4'!H8</f>
        <v>1.143078562433401</v>
      </c>
      <c r="G7" s="24">
        <f>'CD4'!K8</f>
        <v>0.99299999999999999</v>
      </c>
    </row>
    <row r="8" spans="1:15" x14ac:dyDescent="0.2">
      <c r="A8">
        <f>'Individual Parameters 1 2'!A8</f>
        <v>1</v>
      </c>
      <c r="B8">
        <f>'Individual Parameters 1 2'!B8</f>
        <v>6</v>
      </c>
      <c r="C8">
        <f>'Individual Parameters 1 2'!H8</f>
        <v>60.417200000000001</v>
      </c>
      <c r="D8">
        <f>'Individual Parameters 1 2'!I8</f>
        <v>62.473399999999998</v>
      </c>
      <c r="E8" s="19">
        <f>'CD4'!G9</f>
        <v>587.52</v>
      </c>
      <c r="F8" s="20">
        <f>'CD4'!H9</f>
        <v>1.3322448979591837</v>
      </c>
      <c r="G8" s="24">
        <f>'CD4'!K9</f>
        <v>0.51500000000000001</v>
      </c>
    </row>
    <row r="9" spans="1:15" x14ac:dyDescent="0.2">
      <c r="A9">
        <f>'Individual Parameters 1 2'!A9</f>
        <v>1</v>
      </c>
      <c r="B9">
        <f>'Individual Parameters 1 2'!B9</f>
        <v>7</v>
      </c>
      <c r="C9">
        <f>'Individual Parameters 1 2'!H9</f>
        <v>77.575299999999999</v>
      </c>
      <c r="D9">
        <f>'Individual Parameters 1 2'!I9</f>
        <v>80.237399999999994</v>
      </c>
      <c r="E9" s="19">
        <f>'CD4'!G10</f>
        <v>1199.7</v>
      </c>
      <c r="F9" s="20">
        <f>'CD4'!H10</f>
        <v>0.41266510731975781</v>
      </c>
      <c r="G9" s="24">
        <f>'CD4'!K10</f>
        <v>1.21</v>
      </c>
    </row>
    <row r="10" spans="1:15" x14ac:dyDescent="0.2">
      <c r="A10">
        <f>'Individual Parameters 1 2'!A10</f>
        <v>1</v>
      </c>
      <c r="B10">
        <f>'Individual Parameters 1 2'!B10</f>
        <v>8</v>
      </c>
      <c r="C10">
        <f>'Individual Parameters 1 2'!H10</f>
        <v>98.493399999999994</v>
      </c>
      <c r="D10">
        <f>'Individual Parameters 1 2'!I10</f>
        <v>97.963800000000006</v>
      </c>
      <c r="E10" s="19"/>
    </row>
    <row r="11" spans="1:15" x14ac:dyDescent="0.2">
      <c r="A11">
        <f>'Individual Parameters 1 2'!A11</f>
        <v>1</v>
      </c>
      <c r="B11">
        <f>'Individual Parameters 1 2'!B11</f>
        <v>9</v>
      </c>
      <c r="C11">
        <f>'Individual Parameters 1 2'!H11</f>
        <v>64.204899999999995</v>
      </c>
      <c r="D11">
        <f>'Individual Parameters 1 2'!I11</f>
        <v>63.853999999999999</v>
      </c>
      <c r="E11" s="19"/>
    </row>
    <row r="12" spans="1:15" x14ac:dyDescent="0.2">
      <c r="A12">
        <f>'Individual Parameters 1 2'!A12</f>
        <v>1</v>
      </c>
      <c r="B12">
        <f>'Individual Parameters 1 2'!B12</f>
        <v>10</v>
      </c>
      <c r="C12">
        <f>'Individual Parameters 1 2'!H12</f>
        <v>72.429900000000004</v>
      </c>
      <c r="D12">
        <f>'Individual Parameters 1 2'!I12</f>
        <v>73.471699999999998</v>
      </c>
      <c r="E12" s="19"/>
    </row>
    <row r="13" spans="1:15" x14ac:dyDescent="0.2">
      <c r="A13">
        <f>'Individual Parameters 1 2'!A13</f>
        <v>1</v>
      </c>
      <c r="B13">
        <f>'Individual Parameters 1 2'!B13</f>
        <v>11</v>
      </c>
      <c r="C13">
        <f>'Individual Parameters 1 2'!H13</f>
        <v>75.093400000000003</v>
      </c>
      <c r="D13">
        <f>'Individual Parameters 1 2'!I13</f>
        <v>82.725399999999993</v>
      </c>
      <c r="E13" s="19">
        <f>'CD4'!G17</f>
        <v>478.59000000000003</v>
      </c>
    </row>
    <row r="14" spans="1:15" x14ac:dyDescent="0.2">
      <c r="A14">
        <f>'Individual Parameters 1 2'!A14</f>
        <v>1</v>
      </c>
      <c r="B14">
        <f>'Individual Parameters 1 2'!B14</f>
        <v>12</v>
      </c>
      <c r="C14">
        <f>'Individual Parameters 1 2'!H14</f>
        <v>75.326999999999998</v>
      </c>
      <c r="D14">
        <f>'Individual Parameters 1 2'!I14</f>
        <v>76.295299999999997</v>
      </c>
      <c r="E14" s="19">
        <f>'CD4'!G18</f>
        <v>379.13999999999993</v>
      </c>
    </row>
    <row r="15" spans="1:15" x14ac:dyDescent="0.2">
      <c r="A15">
        <f>'Individual Parameters 1 2'!A15</f>
        <v>1</v>
      </c>
      <c r="B15">
        <f>'Individual Parameters 1 2'!B15</f>
        <v>13</v>
      </c>
      <c r="C15">
        <f>'Individual Parameters 1 2'!H15</f>
        <v>122.11499999999999</v>
      </c>
      <c r="D15">
        <f>'Individual Parameters 1 2'!I15</f>
        <v>121.35</v>
      </c>
      <c r="E15" s="19">
        <f>'CD4'!G19</f>
        <v>526.11</v>
      </c>
    </row>
    <row r="16" spans="1:15" x14ac:dyDescent="0.2">
      <c r="A16">
        <f>'Individual Parameters 1 2'!A16</f>
        <v>1</v>
      </c>
      <c r="B16">
        <f>'Individual Parameters 1 2'!B16</f>
        <v>14</v>
      </c>
      <c r="C16">
        <f>'Individual Parameters 1 2'!H16</f>
        <v>110.277</v>
      </c>
      <c r="D16">
        <f>'Individual Parameters 1 2'!I16</f>
        <v>113.37</v>
      </c>
      <c r="E16" s="19">
        <f>'CD4'!G20</f>
        <v>389.3</v>
      </c>
    </row>
    <row r="17" spans="1:5" x14ac:dyDescent="0.2">
      <c r="A17">
        <f>'Individual Parameters 1 2'!A17</f>
        <v>1</v>
      </c>
      <c r="B17">
        <f>'Individual Parameters 1 2'!B17</f>
        <v>15</v>
      </c>
      <c r="C17">
        <f>'Individual Parameters 1 2'!H17</f>
        <v>103.11</v>
      </c>
      <c r="D17">
        <f>'Individual Parameters 1 2'!I17</f>
        <v>100.208</v>
      </c>
      <c r="E17" s="19">
        <f>'CD4'!G21</f>
        <v>670.31999999999994</v>
      </c>
    </row>
    <row r="18" spans="1:5" x14ac:dyDescent="0.2">
      <c r="A18">
        <f>'Individual Parameters 1 2'!A18</f>
        <v>1</v>
      </c>
      <c r="B18">
        <f>'Individual Parameters 1 2'!B18</f>
        <v>16</v>
      </c>
      <c r="C18">
        <f>'Individual Parameters 1 2'!H18</f>
        <v>124.4</v>
      </c>
      <c r="D18">
        <f>'Individual Parameters 1 2'!I18</f>
        <v>115.58</v>
      </c>
      <c r="E18" s="19">
        <f>'CD4'!G22</f>
        <v>477.40000000000003</v>
      </c>
    </row>
    <row r="19" spans="1:5" x14ac:dyDescent="0.2">
      <c r="A19">
        <f>'Individual Parameters 1 2'!A19</f>
        <v>1</v>
      </c>
      <c r="B19">
        <f>'Individual Parameters 1 2'!B19</f>
        <v>17</v>
      </c>
      <c r="C19">
        <f>'Individual Parameters 1 2'!H19</f>
        <v>98.314300000000003</v>
      </c>
      <c r="D19">
        <f>'Individual Parameters 1 2'!I19</f>
        <v>103.075</v>
      </c>
      <c r="E19" s="19">
        <f>'CD4'!G23</f>
        <v>744.77</v>
      </c>
    </row>
    <row r="20" spans="1:5" x14ac:dyDescent="0.2">
      <c r="A20">
        <f>'Individual Parameters 1 2'!A20</f>
        <v>1</v>
      </c>
      <c r="B20">
        <f>'Individual Parameters 1 2'!B20</f>
        <v>18</v>
      </c>
      <c r="C20">
        <f>'Individual Parameters 1 2'!H20</f>
        <v>110.48</v>
      </c>
      <c r="D20">
        <f>'Individual Parameters 1 2'!I20</f>
        <v>109.40900000000001</v>
      </c>
      <c r="E20" s="19">
        <f>'CD4'!G24</f>
        <v>660.8</v>
      </c>
    </row>
    <row r="21" spans="1:5" x14ac:dyDescent="0.2">
      <c r="A21">
        <f>'Individual Parameters 1 2'!A21</f>
        <v>1</v>
      </c>
      <c r="B21">
        <f>'Individual Parameters 1 2'!B21</f>
        <v>19</v>
      </c>
      <c r="C21">
        <f>'Individual Parameters 1 2'!H21</f>
        <v>105.432</v>
      </c>
      <c r="D21">
        <f>'Individual Parameters 1 2'!I21</f>
        <v>100.60599999999999</v>
      </c>
      <c r="E21" s="19">
        <f>'CD4'!G25</f>
        <v>933.24</v>
      </c>
    </row>
    <row r="22" spans="1:5" x14ac:dyDescent="0.2">
      <c r="A22">
        <f>'Individual Parameters 1 2'!A22</f>
        <v>1</v>
      </c>
      <c r="B22">
        <f>'Individual Parameters 1 2'!B22</f>
        <v>20</v>
      </c>
      <c r="C22">
        <f>'Individual Parameters 1 2'!H22</f>
        <v>102.113</v>
      </c>
      <c r="D22">
        <f>'Individual Parameters 1 2'!I22</f>
        <v>107.199</v>
      </c>
      <c r="E22" s="19">
        <f>'CD4'!G26</f>
        <v>582.82999999999993</v>
      </c>
    </row>
    <row r="23" spans="1:5" x14ac:dyDescent="0.2">
      <c r="A23">
        <f>'Individual Parameters 1 2'!A23</f>
        <v>1</v>
      </c>
      <c r="B23">
        <f>'Individual Parameters 1 2'!B23</f>
        <v>21</v>
      </c>
      <c r="C23">
        <f>'Individual Parameters 1 2'!H23</f>
        <v>100.325</v>
      </c>
      <c r="D23">
        <f>'Individual Parameters 1 2'!I23</f>
        <v>103.43899999999999</v>
      </c>
      <c r="E23" s="19">
        <f>'CD4'!G27</f>
        <v>598.5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Z77"/>
  <sheetViews>
    <sheetView topLeftCell="K52" workbookViewId="0">
      <selection activeCell="P78" sqref="P78"/>
    </sheetView>
  </sheetViews>
  <sheetFormatPr baseColWidth="10" defaultRowHeight="16" x14ac:dyDescent="0.2"/>
  <cols>
    <col min="9" max="9" width="16.7109375" customWidth="1"/>
    <col min="10" max="13" width="19.5703125" customWidth="1"/>
    <col min="16" max="16" width="12.140625" bestFit="1" customWidth="1"/>
  </cols>
  <sheetData>
    <row r="2" spans="1:13" x14ac:dyDescent="0.2">
      <c r="A2" t="s">
        <v>0</v>
      </c>
      <c r="B2" t="s">
        <v>73</v>
      </c>
      <c r="C2" t="s">
        <v>88</v>
      </c>
      <c r="D2" t="s">
        <v>95</v>
      </c>
      <c r="E2" t="s">
        <v>91</v>
      </c>
      <c r="F2" t="s">
        <v>94</v>
      </c>
      <c r="G2" t="s">
        <v>73</v>
      </c>
      <c r="H2" t="s">
        <v>93</v>
      </c>
      <c r="I2" t="s">
        <v>89</v>
      </c>
      <c r="J2" t="s">
        <v>90</v>
      </c>
      <c r="K2" t="s">
        <v>96</v>
      </c>
      <c r="L2" t="s">
        <v>92</v>
      </c>
      <c r="M2" t="s">
        <v>100</v>
      </c>
    </row>
    <row r="3" spans="1:13" x14ac:dyDescent="0.2">
      <c r="A3">
        <f>'Individual Parameters 1 2'!A24</f>
        <v>2</v>
      </c>
      <c r="B3">
        <f>'Individual Parameters 1 2'!B24</f>
        <v>5900</v>
      </c>
      <c r="C3" s="19">
        <f>'Individual Parameters 1 2'!M24</f>
        <v>1477630</v>
      </c>
      <c r="D3">
        <f>LOG10(C3)</f>
        <v>6.1695656999079533</v>
      </c>
      <c r="E3">
        <f>'Individual Parameters 1 2'!Q24</f>
        <v>249.66900000000001</v>
      </c>
      <c r="F3">
        <f>'Individual Parameters 1 2'!U24</f>
        <v>0.87865099999999996</v>
      </c>
      <c r="G3">
        <f>Immune!D3:D38</f>
        <v>5900</v>
      </c>
      <c r="H3" t="str">
        <f>Immune!E3</f>
        <v>Control</v>
      </c>
      <c r="J3">
        <f>Immune!I40</f>
        <v>3</v>
      </c>
      <c r="K3">
        <f>Immune!F40</f>
        <v>2</v>
      </c>
      <c r="L3">
        <f>Immune!F79</f>
        <v>0.32900000000000001</v>
      </c>
      <c r="M3" s="25">
        <f>LOG10(L3)</f>
        <v>-0.48280410205002566</v>
      </c>
    </row>
    <row r="4" spans="1:13" x14ac:dyDescent="0.2">
      <c r="A4">
        <f>'Individual Parameters 1 2'!A25</f>
        <v>2</v>
      </c>
      <c r="B4">
        <f>'Individual Parameters 1 2'!B25</f>
        <v>5901</v>
      </c>
      <c r="C4" s="19">
        <f>'Individual Parameters 1 2'!M25</f>
        <v>2813890</v>
      </c>
      <c r="D4">
        <f t="shared" ref="D4:D37" si="0">LOG10(C4)</f>
        <v>6.4493071160814024</v>
      </c>
      <c r="E4">
        <f>'Individual Parameters 1 2'!Q25</f>
        <v>12.7456</v>
      </c>
      <c r="F4">
        <f>'Individual Parameters 1 2'!U25</f>
        <v>0.733213</v>
      </c>
      <c r="G4">
        <f>Immune!D4:D39</f>
        <v>5901</v>
      </c>
      <c r="H4" t="str">
        <f>Immune!E4</f>
        <v>Control</v>
      </c>
      <c r="J4">
        <f>Immune!I41</f>
        <v>2</v>
      </c>
      <c r="K4">
        <f>Immune!F41</f>
        <v>1</v>
      </c>
      <c r="L4">
        <f>Immune!F80</f>
        <v>2.5399999999999999E-2</v>
      </c>
      <c r="M4" s="25">
        <f t="shared" ref="M4:M38" si="1">LOG10(L4)</f>
        <v>-1.5951662833800619</v>
      </c>
    </row>
    <row r="5" spans="1:13" x14ac:dyDescent="0.2">
      <c r="A5">
        <f>'Individual Parameters 1 2'!A26</f>
        <v>2</v>
      </c>
      <c r="B5">
        <f>'Individual Parameters 1 2'!B26</f>
        <v>5902</v>
      </c>
      <c r="C5" s="19">
        <f>'Individual Parameters 1 2'!M26</f>
        <v>577434</v>
      </c>
      <c r="D5">
        <f t="shared" si="0"/>
        <v>5.7615023520726822</v>
      </c>
      <c r="E5">
        <f>'Individual Parameters 1 2'!Q26</f>
        <v>31.127700000000001</v>
      </c>
      <c r="F5">
        <f>'Individual Parameters 1 2'!U26</f>
        <v>1.0753600000000001</v>
      </c>
      <c r="G5">
        <f>Immune!D5:D40</f>
        <v>5902</v>
      </c>
      <c r="H5" t="str">
        <f>Immune!E5</f>
        <v>Control</v>
      </c>
      <c r="J5">
        <f>Immune!I42</f>
        <v>4</v>
      </c>
      <c r="K5">
        <f>Immune!F42</f>
        <v>2</v>
      </c>
      <c r="L5">
        <f>Immune!F81</f>
        <v>0.11799999999999999</v>
      </c>
      <c r="M5" s="25">
        <f t="shared" si="1"/>
        <v>-0.92811799269387463</v>
      </c>
    </row>
    <row r="6" spans="1:13" x14ac:dyDescent="0.2">
      <c r="A6">
        <f>'Individual Parameters 1 2'!A27</f>
        <v>2</v>
      </c>
      <c r="B6">
        <f>'Individual Parameters 1 2'!B27</f>
        <v>5903</v>
      </c>
      <c r="C6" s="19">
        <f>'Individual Parameters 1 2'!M27</f>
        <v>1131530</v>
      </c>
      <c r="D6">
        <f t="shared" si="0"/>
        <v>6.0536660727951581</v>
      </c>
      <c r="E6">
        <f>'Individual Parameters 1 2'!Q27</f>
        <v>42.354700000000001</v>
      </c>
      <c r="F6">
        <f>'Individual Parameters 1 2'!U27</f>
        <v>0.92417899999999997</v>
      </c>
      <c r="G6">
        <f>Immune!D6:D41</f>
        <v>5903</v>
      </c>
      <c r="H6" t="str">
        <f>Immune!E6</f>
        <v>Control</v>
      </c>
      <c r="J6">
        <f>Immune!I43</f>
        <v>0</v>
      </c>
      <c r="K6">
        <f>Immune!F43</f>
        <v>0</v>
      </c>
      <c r="L6">
        <f>Immune!F82</f>
        <v>9.06E-2</v>
      </c>
      <c r="M6" s="25">
        <f t="shared" si="1"/>
        <v>-1.0428718023231869</v>
      </c>
    </row>
    <row r="7" spans="1:13" x14ac:dyDescent="0.2">
      <c r="A7">
        <f>'Individual Parameters 1 2'!A28</f>
        <v>2</v>
      </c>
      <c r="B7">
        <f>'Individual Parameters 1 2'!B28</f>
        <v>5904</v>
      </c>
      <c r="C7" s="19">
        <f>'Individual Parameters 1 2'!M28</f>
        <v>1287110</v>
      </c>
      <c r="D7">
        <f t="shared" si="0"/>
        <v>6.1096156645046742</v>
      </c>
      <c r="E7">
        <f>'Individual Parameters 1 2'!Q28</f>
        <v>29.283100000000001</v>
      </c>
      <c r="F7">
        <f>'Individual Parameters 1 2'!U28</f>
        <v>0.88533300000000004</v>
      </c>
      <c r="G7">
        <f>Immune!D7:D42</f>
        <v>5904</v>
      </c>
      <c r="H7" t="str">
        <f>Immune!E7</f>
        <v>Control</v>
      </c>
      <c r="J7">
        <f>Immune!I44</f>
        <v>1</v>
      </c>
      <c r="K7">
        <f>Immune!F44</f>
        <v>1</v>
      </c>
      <c r="L7">
        <f>Immune!F83</f>
        <v>0.11700000000000001</v>
      </c>
      <c r="M7" s="25">
        <f t="shared" si="1"/>
        <v>-0.9318141382538383</v>
      </c>
    </row>
    <row r="8" spans="1:13" x14ac:dyDescent="0.2">
      <c r="A8">
        <f>'Individual Parameters 1 2'!A29</f>
        <v>2</v>
      </c>
      <c r="B8">
        <f>'Individual Parameters 1 2'!B29</f>
        <v>5905</v>
      </c>
      <c r="C8" s="19">
        <f>'Individual Parameters 1 2'!M29</f>
        <v>1978400</v>
      </c>
      <c r="D8">
        <f t="shared" si="0"/>
        <v>6.2963141033532413</v>
      </c>
      <c r="E8">
        <f>'Individual Parameters 1 2'!Q29</f>
        <v>37.116300000000003</v>
      </c>
      <c r="F8">
        <f>'Individual Parameters 1 2'!U29</f>
        <v>0.80818800000000002</v>
      </c>
      <c r="G8">
        <f>Immune!D8:D43</f>
        <v>5905</v>
      </c>
      <c r="H8" t="str">
        <f>Immune!E8</f>
        <v>Control</v>
      </c>
      <c r="J8">
        <f>Immune!I45</f>
        <v>0</v>
      </c>
      <c r="K8">
        <f>Immune!F45</f>
        <v>0</v>
      </c>
      <c r="L8">
        <f>Immune!F84</f>
        <v>4.1500000000000002E-2</v>
      </c>
      <c r="M8" s="25">
        <f t="shared" si="1"/>
        <v>-1.3819519032879073</v>
      </c>
    </row>
    <row r="9" spans="1:13" x14ac:dyDescent="0.2">
      <c r="A9">
        <f>'Individual Parameters 1 2'!A30</f>
        <v>2</v>
      </c>
      <c r="B9">
        <f>'Individual Parameters 1 2'!B30</f>
        <v>5906</v>
      </c>
      <c r="C9" s="19">
        <f>'Individual Parameters 1 2'!M30</f>
        <v>922012</v>
      </c>
      <c r="D9">
        <f t="shared" si="0"/>
        <v>5.9647365734396036</v>
      </c>
      <c r="E9">
        <f>'Individual Parameters 1 2'!Q30</f>
        <v>228.916</v>
      </c>
      <c r="F9">
        <f>'Individual Parameters 1 2'!U30</f>
        <v>0.98491700000000004</v>
      </c>
      <c r="G9">
        <f>Immune!D9:D44</f>
        <v>5906</v>
      </c>
      <c r="H9" t="str">
        <f>Immune!E9</f>
        <v>Control</v>
      </c>
      <c r="J9">
        <f>Immune!I46</f>
        <v>1</v>
      </c>
      <c r="K9">
        <f>Immune!F46</f>
        <v>1</v>
      </c>
      <c r="L9">
        <f>Immune!F85</f>
        <v>0.17599999999999999</v>
      </c>
      <c r="M9" s="25">
        <f t="shared" si="1"/>
        <v>-0.75448733218585018</v>
      </c>
    </row>
    <row r="10" spans="1:13" x14ac:dyDescent="0.2">
      <c r="A10">
        <f>'Individual Parameters 1 2'!A31</f>
        <v>2</v>
      </c>
      <c r="B10">
        <f>'Individual Parameters 1 2'!B31</f>
        <v>5907</v>
      </c>
      <c r="C10" s="19">
        <f>'Individual Parameters 1 2'!M31</f>
        <v>869058</v>
      </c>
      <c r="D10">
        <f t="shared" si="0"/>
        <v>5.9390487617644148</v>
      </c>
      <c r="E10">
        <f>'Individual Parameters 1 2'!Q31</f>
        <v>64.692300000000003</v>
      </c>
      <c r="F10">
        <f>'Individual Parameters 1 2'!U31</f>
        <v>0.98536599999999996</v>
      </c>
      <c r="G10">
        <f>Immune!D10:D45</f>
        <v>5907</v>
      </c>
      <c r="H10" t="str">
        <f>Immune!E10</f>
        <v>Control</v>
      </c>
      <c r="J10">
        <f>Immune!I47</f>
        <v>7</v>
      </c>
      <c r="K10">
        <f>Immune!F47</f>
        <v>2</v>
      </c>
      <c r="L10">
        <f>Immune!F86</f>
        <v>2.7699999999999999E-2</v>
      </c>
      <c r="M10" s="25">
        <f t="shared" si="1"/>
        <v>-1.5575202309355514</v>
      </c>
    </row>
    <row r="11" spans="1:13" x14ac:dyDescent="0.2">
      <c r="A11">
        <f>'Individual Parameters 1 2'!A32</f>
        <v>2</v>
      </c>
      <c r="B11">
        <f>'Individual Parameters 1 2'!B32</f>
        <v>5908</v>
      </c>
      <c r="C11" s="19">
        <f>'Individual Parameters 1 2'!M32</f>
        <v>2054480</v>
      </c>
      <c r="D11">
        <f t="shared" si="0"/>
        <v>6.3127019178383792</v>
      </c>
      <c r="E11">
        <f>'Individual Parameters 1 2'!Q32</f>
        <v>148.46799999999999</v>
      </c>
      <c r="F11">
        <f>'Individual Parameters 1 2'!U32</f>
        <v>0.81250999999999995</v>
      </c>
      <c r="G11">
        <f>Immune!D11:D46</f>
        <v>5908</v>
      </c>
      <c r="H11" t="str">
        <f>Immune!E11</f>
        <v>Control</v>
      </c>
      <c r="J11">
        <f>Immune!I48</f>
        <v>0</v>
      </c>
      <c r="K11">
        <f>Immune!F48</f>
        <v>0</v>
      </c>
      <c r="L11">
        <f>Immune!F87</f>
        <v>0</v>
      </c>
      <c r="M11" s="25"/>
    </row>
    <row r="12" spans="1:13" x14ac:dyDescent="0.2">
      <c r="C12" s="19"/>
      <c r="G12">
        <f>Immune!D12:D47</f>
        <v>5891</v>
      </c>
      <c r="H12" t="str">
        <f>Immune!E12</f>
        <v>TLR7</v>
      </c>
      <c r="M12" s="25"/>
    </row>
    <row r="13" spans="1:13" x14ac:dyDescent="0.2">
      <c r="A13">
        <f>'Individual Parameters 1 2'!A33</f>
        <v>2</v>
      </c>
      <c r="B13">
        <f>'Individual Parameters 1 2'!B33</f>
        <v>5892</v>
      </c>
      <c r="C13" s="19">
        <f>'Individual Parameters 1 2'!M33</f>
        <v>3175930</v>
      </c>
      <c r="D13">
        <f t="shared" si="0"/>
        <v>6.5018709216679182</v>
      </c>
      <c r="E13">
        <f>'Individual Parameters 1 2'!Q33</f>
        <v>31.868600000000001</v>
      </c>
      <c r="F13">
        <f>'Individual Parameters 1 2'!U33</f>
        <v>0.71145199999999997</v>
      </c>
      <c r="G13">
        <f>Immune!D13:D48</f>
        <v>5892</v>
      </c>
      <c r="H13" t="str">
        <f>Immune!E13</f>
        <v>TLR7</v>
      </c>
      <c r="J13">
        <f>Immune!I50</f>
        <v>6</v>
      </c>
      <c r="K13">
        <f>Immune!F50</f>
        <v>1</v>
      </c>
      <c r="L13">
        <f>Immune!F89</f>
        <v>0.113</v>
      </c>
      <c r="M13" s="25">
        <f t="shared" si="1"/>
        <v>-0.94692155651658028</v>
      </c>
    </row>
    <row r="14" spans="1:13" x14ac:dyDescent="0.2">
      <c r="A14">
        <f>'Individual Parameters 1 2'!A34</f>
        <v>2</v>
      </c>
      <c r="B14">
        <f>'Individual Parameters 1 2'!B34</f>
        <v>5893</v>
      </c>
      <c r="C14" s="19">
        <f>'Individual Parameters 1 2'!M34</f>
        <v>3712400</v>
      </c>
      <c r="D14">
        <f t="shared" si="0"/>
        <v>6.5696547639998517</v>
      </c>
      <c r="E14">
        <f>'Individual Parameters 1 2'!Q34</f>
        <v>13.1251</v>
      </c>
      <c r="F14">
        <f>'Individual Parameters 1 2'!U34</f>
        <v>0.68998599999999999</v>
      </c>
      <c r="G14">
        <f>Immune!D14:D49</f>
        <v>5893</v>
      </c>
      <c r="H14" t="str">
        <f>Immune!E14</f>
        <v>TLR7</v>
      </c>
      <c r="J14">
        <f>Immune!I51</f>
        <v>1</v>
      </c>
      <c r="K14">
        <f>Immune!F51</f>
        <v>1</v>
      </c>
      <c r="L14">
        <f>Immune!F90</f>
        <v>0.33900000000000002</v>
      </c>
      <c r="M14" s="25">
        <f t="shared" si="1"/>
        <v>-0.46980030179691779</v>
      </c>
    </row>
    <row r="15" spans="1:13" x14ac:dyDescent="0.2">
      <c r="A15">
        <f>'Individual Parameters 1 2'!A35</f>
        <v>2</v>
      </c>
      <c r="B15">
        <f>'Individual Parameters 1 2'!B35</f>
        <v>5894</v>
      </c>
      <c r="C15" s="19">
        <f>'Individual Parameters 1 2'!M35</f>
        <v>3151260</v>
      </c>
      <c r="D15">
        <f t="shared" si="0"/>
        <v>6.4984842368480651</v>
      </c>
      <c r="E15">
        <f>'Individual Parameters 1 2'!Q35</f>
        <v>16.139399999999998</v>
      </c>
      <c r="F15">
        <f>'Individual Parameters 1 2'!U35</f>
        <v>0.71770500000000004</v>
      </c>
      <c r="G15">
        <f>Immune!D15:D50</f>
        <v>5894</v>
      </c>
      <c r="H15" t="str">
        <f>Immune!E15</f>
        <v>TLR7</v>
      </c>
      <c r="J15">
        <f>Immune!I52</f>
        <v>0</v>
      </c>
      <c r="K15">
        <f>Immune!F52</f>
        <v>0</v>
      </c>
      <c r="L15">
        <f>Immune!F91</f>
        <v>9.7199999999999995E-2</v>
      </c>
      <c r="M15" s="25">
        <f t="shared" si="1"/>
        <v>-1.0123337350737254</v>
      </c>
    </row>
    <row r="16" spans="1:13" x14ac:dyDescent="0.2">
      <c r="A16">
        <f>'Individual Parameters 1 2'!A36</f>
        <v>2</v>
      </c>
      <c r="B16">
        <f>'Individual Parameters 1 2'!B36</f>
        <v>5895</v>
      </c>
      <c r="C16" s="19">
        <f>'Individual Parameters 1 2'!M36</f>
        <v>183139</v>
      </c>
      <c r="D16">
        <f t="shared" si="0"/>
        <v>5.26278083846457</v>
      </c>
      <c r="E16">
        <f>'Individual Parameters 1 2'!Q36</f>
        <v>13.2445</v>
      </c>
      <c r="F16">
        <f>'Individual Parameters 1 2'!U36</f>
        <v>1.57222</v>
      </c>
      <c r="G16">
        <f>Immune!D16:D51</f>
        <v>5895</v>
      </c>
      <c r="H16" t="str">
        <f>Immune!E16</f>
        <v>TLR7</v>
      </c>
      <c r="J16">
        <f>Immune!I53</f>
        <v>0</v>
      </c>
      <c r="K16">
        <f>Immune!F53</f>
        <v>0</v>
      </c>
      <c r="L16">
        <f>Immune!F92</f>
        <v>1.7999999999999999E-2</v>
      </c>
      <c r="M16" s="25">
        <f t="shared" si="1"/>
        <v>-1.744727494896694</v>
      </c>
    </row>
    <row r="17" spans="1:21" x14ac:dyDescent="0.2">
      <c r="A17">
        <f>'Individual Parameters 1 2'!A37</f>
        <v>2</v>
      </c>
      <c r="B17">
        <f>'Individual Parameters 1 2'!B37</f>
        <v>5896</v>
      </c>
      <c r="C17" s="19">
        <f>'Individual Parameters 1 2'!M37</f>
        <v>1430860</v>
      </c>
      <c r="D17">
        <f t="shared" si="0"/>
        <v>6.155597143052673</v>
      </c>
      <c r="E17">
        <f>'Individual Parameters 1 2'!Q37</f>
        <v>79.4358</v>
      </c>
      <c r="F17">
        <f>'Individual Parameters 1 2'!U37</f>
        <v>0.86269700000000005</v>
      </c>
      <c r="G17">
        <f>Immune!D17:D52</f>
        <v>5896</v>
      </c>
      <c r="H17" t="str">
        <f>Immune!E17</f>
        <v>TLR7</v>
      </c>
      <c r="J17">
        <f>Immune!I54</f>
        <v>0</v>
      </c>
      <c r="K17">
        <f>Immune!F54</f>
        <v>0</v>
      </c>
      <c r="L17">
        <f>Immune!F93</f>
        <v>0.20300000000000001</v>
      </c>
      <c r="M17" s="25">
        <f t="shared" si="1"/>
        <v>-0.69250396208678711</v>
      </c>
      <c r="O17" t="s">
        <v>85</v>
      </c>
      <c r="P17" s="25">
        <f>PEARSON(D3:D38,I3:I38)</f>
        <v>-4.6994631431388607E-2</v>
      </c>
      <c r="T17" t="s">
        <v>85</v>
      </c>
      <c r="U17" s="25">
        <f>PEARSON(E3:E38,I3:I38)</f>
        <v>-0.24792393965087051</v>
      </c>
    </row>
    <row r="18" spans="1:21" x14ac:dyDescent="0.2">
      <c r="A18">
        <f>'Individual Parameters 1 2'!A38</f>
        <v>2</v>
      </c>
      <c r="B18">
        <f>'Individual Parameters 1 2'!B38</f>
        <v>5897</v>
      </c>
      <c r="C18" s="19">
        <f>'Individual Parameters 1 2'!M38</f>
        <v>719578</v>
      </c>
      <c r="D18">
        <f t="shared" si="0"/>
        <v>5.857077876984996</v>
      </c>
      <c r="E18">
        <f>'Individual Parameters 1 2'!Q38</f>
        <v>34.2592</v>
      </c>
      <c r="F18">
        <f>'Individual Parameters 1 2'!U38</f>
        <v>1.0190300000000001</v>
      </c>
      <c r="G18">
        <f>Immune!D18:D53</f>
        <v>5897</v>
      </c>
      <c r="H18" t="str">
        <f>Immune!E18</f>
        <v>TLR7</v>
      </c>
      <c r="J18">
        <f>Immune!I55</f>
        <v>0</v>
      </c>
      <c r="K18">
        <f>Immune!F55</f>
        <v>0</v>
      </c>
      <c r="L18">
        <f>Immune!F94</f>
        <v>4.7399999999999998E-2</v>
      </c>
      <c r="M18" s="25">
        <f t="shared" si="1"/>
        <v>-1.324221658325915</v>
      </c>
      <c r="O18" t="s">
        <v>86</v>
      </c>
      <c r="P18" s="25">
        <f>P17*SQRT(33)/SQRT(1-P17^2)</f>
        <v>-0.27026220568141551</v>
      </c>
      <c r="T18" t="s">
        <v>86</v>
      </c>
      <c r="U18" s="25">
        <f>U17*SQRT(33)/SQRT(1-U17^2)</f>
        <v>-1.4701122417438832</v>
      </c>
    </row>
    <row r="19" spans="1:21" x14ac:dyDescent="0.2">
      <c r="A19">
        <f>'Individual Parameters 1 2'!A39</f>
        <v>2</v>
      </c>
      <c r="B19">
        <f>'Individual Parameters 1 2'!B39</f>
        <v>5898</v>
      </c>
      <c r="C19" s="19">
        <f>'Individual Parameters 1 2'!M39</f>
        <v>1178990</v>
      </c>
      <c r="D19">
        <f t="shared" si="0"/>
        <v>6.0715101214960754</v>
      </c>
      <c r="E19">
        <f>'Individual Parameters 1 2'!Q39</f>
        <v>353.56700000000001</v>
      </c>
      <c r="F19">
        <f>'Individual Parameters 1 2'!U39</f>
        <v>0.92913900000000005</v>
      </c>
      <c r="G19">
        <f>Immune!D19:D54</f>
        <v>5898</v>
      </c>
      <c r="H19" t="str">
        <f>Immune!E19</f>
        <v>TLR7</v>
      </c>
      <c r="J19">
        <f>Immune!I56</f>
        <v>1</v>
      </c>
      <c r="K19">
        <f>Immune!F56</f>
        <v>1</v>
      </c>
      <c r="L19">
        <f>Immune!F95</f>
        <v>3.3700000000000001E-2</v>
      </c>
      <c r="M19" s="25">
        <f t="shared" si="1"/>
        <v>-1.4723700991286615</v>
      </c>
      <c r="O19" t="s">
        <v>87</v>
      </c>
      <c r="P19" s="28">
        <f>_xlfn.T.DIST.2T(ABS(P18),33)</f>
        <v>0.78864162835174401</v>
      </c>
      <c r="T19" t="s">
        <v>87</v>
      </c>
      <c r="U19" s="25">
        <f>_xlfn.T.DIST.2T(ABS(U18),33)</f>
        <v>0.15100219414293656</v>
      </c>
    </row>
    <row r="20" spans="1:21" x14ac:dyDescent="0.2">
      <c r="A20">
        <f>'Individual Parameters 1 2'!A40</f>
        <v>2</v>
      </c>
      <c r="B20">
        <f>'Individual Parameters 1 2'!B40</f>
        <v>5899</v>
      </c>
      <c r="C20" s="19">
        <f>'Individual Parameters 1 2'!M40</f>
        <v>1041790</v>
      </c>
      <c r="D20">
        <f t="shared" si="0"/>
        <v>6.0177801843832377</v>
      </c>
      <c r="E20">
        <f>'Individual Parameters 1 2'!Q40</f>
        <v>372.33100000000002</v>
      </c>
      <c r="F20">
        <f>'Individual Parameters 1 2'!U40</f>
        <v>0.95363299999999995</v>
      </c>
      <c r="G20">
        <f>Immune!D20:D55</f>
        <v>5899</v>
      </c>
      <c r="H20" t="str">
        <f>Immune!E20</f>
        <v>TLR7</v>
      </c>
      <c r="J20">
        <f>Immune!I57</f>
        <v>8</v>
      </c>
      <c r="K20">
        <f>Immune!F57</f>
        <v>3</v>
      </c>
      <c r="L20">
        <f>Immune!F96</f>
        <v>9.1600000000000001E-2</v>
      </c>
      <c r="M20" s="25">
        <f t="shared" si="1"/>
        <v>-1.0381045263321496</v>
      </c>
    </row>
    <row r="21" spans="1:21" x14ac:dyDescent="0.2">
      <c r="A21">
        <f>'Individual Parameters 1 2'!A41</f>
        <v>2</v>
      </c>
      <c r="B21">
        <f>'Individual Parameters 1 2'!B41</f>
        <v>5872</v>
      </c>
      <c r="C21" s="19">
        <f>'Individual Parameters 1 2'!M41</f>
        <v>275432</v>
      </c>
      <c r="D21">
        <f t="shared" si="0"/>
        <v>5.4400143956742832</v>
      </c>
      <c r="E21">
        <f>'Individual Parameters 1 2'!Q41</f>
        <v>204.48400000000001</v>
      </c>
      <c r="F21">
        <f>'Individual Parameters 1 2'!U41</f>
        <v>0.64921600000000002</v>
      </c>
      <c r="G21">
        <f>Immune!D21:D56</f>
        <v>5872</v>
      </c>
      <c r="H21" t="str">
        <f>Immune!E21</f>
        <v>Vac</v>
      </c>
      <c r="I21">
        <f>Immune!I21:I56</f>
        <v>6</v>
      </c>
      <c r="J21">
        <f>Immune!I58</f>
        <v>11</v>
      </c>
      <c r="K21">
        <f>Immune!F58</f>
        <v>5</v>
      </c>
      <c r="L21">
        <f>Immune!F97</f>
        <v>0.625</v>
      </c>
      <c r="M21" s="25">
        <f t="shared" si="1"/>
        <v>-0.20411998265592479</v>
      </c>
    </row>
    <row r="22" spans="1:21" x14ac:dyDescent="0.2">
      <c r="A22">
        <f>'Individual Parameters 1 2'!A42</f>
        <v>2</v>
      </c>
      <c r="B22">
        <f>'Individual Parameters 1 2'!B42</f>
        <v>5873</v>
      </c>
      <c r="C22" s="19">
        <f>'Individual Parameters 1 2'!M42</f>
        <v>178189</v>
      </c>
      <c r="D22">
        <f t="shared" si="0"/>
        <v>5.250880890572053</v>
      </c>
      <c r="E22">
        <f>'Individual Parameters 1 2'!Q42</f>
        <v>15.733700000000001</v>
      </c>
      <c r="F22">
        <f>'Individual Parameters 1 2'!U42</f>
        <v>0.67502899999999999</v>
      </c>
      <c r="G22">
        <f>Immune!D22:D57</f>
        <v>5873</v>
      </c>
      <c r="H22" t="str">
        <f>Immune!E22</f>
        <v>Vac</v>
      </c>
      <c r="I22">
        <f>Immune!I22:I57</f>
        <v>7</v>
      </c>
      <c r="J22">
        <f>Immune!I59</f>
        <v>5</v>
      </c>
      <c r="K22">
        <f>Immune!F59</f>
        <v>3</v>
      </c>
      <c r="L22">
        <f>Immune!F98</f>
        <v>0.19400000000000001</v>
      </c>
      <c r="M22" s="25">
        <f t="shared" si="1"/>
        <v>-0.71219827006977399</v>
      </c>
    </row>
    <row r="23" spans="1:21" x14ac:dyDescent="0.2">
      <c r="A23">
        <f>'Individual Parameters 1 2'!A43</f>
        <v>2</v>
      </c>
      <c r="B23">
        <f>'Individual Parameters 1 2'!B43</f>
        <v>5874</v>
      </c>
      <c r="C23" s="19">
        <f>'Individual Parameters 1 2'!M43</f>
        <v>17296.599999999999</v>
      </c>
      <c r="D23">
        <f t="shared" si="0"/>
        <v>4.2379607420676955</v>
      </c>
      <c r="E23">
        <f>'Individual Parameters 1 2'!Q43</f>
        <v>5.15069</v>
      </c>
      <c r="F23">
        <f>'Individual Parameters 1 2'!U43</f>
        <v>0.648814</v>
      </c>
      <c r="G23">
        <f>Immune!D23:D58</f>
        <v>5874</v>
      </c>
      <c r="H23" t="str">
        <f>Immune!E23</f>
        <v>Vac</v>
      </c>
      <c r="I23">
        <f>Immune!I23:I58</f>
        <v>5</v>
      </c>
      <c r="J23">
        <f>Immune!I60</f>
        <v>10</v>
      </c>
      <c r="K23">
        <f>Immune!F60</f>
        <v>4</v>
      </c>
      <c r="L23">
        <f>Immune!F99</f>
        <v>9.92</v>
      </c>
      <c r="M23" s="25">
        <f t="shared" si="1"/>
        <v>0.99651167215417868</v>
      </c>
    </row>
    <row r="24" spans="1:21" x14ac:dyDescent="0.2">
      <c r="A24">
        <f>'Individual Parameters 1 2'!A44</f>
        <v>2</v>
      </c>
      <c r="B24">
        <f>'Individual Parameters 1 2'!B44</f>
        <v>5875</v>
      </c>
      <c r="C24" s="19">
        <f>'Individual Parameters 1 2'!M44</f>
        <v>155458</v>
      </c>
      <c r="D24">
        <f t="shared" si="0"/>
        <v>5.1916130761151837</v>
      </c>
      <c r="E24">
        <f>'Individual Parameters 1 2'!Q44</f>
        <v>24.4924</v>
      </c>
      <c r="F24">
        <f>'Individual Parameters 1 2'!U44</f>
        <v>1.00034</v>
      </c>
      <c r="G24">
        <f>Immune!D24:D59</f>
        <v>5875</v>
      </c>
      <c r="H24" t="str">
        <f>Immune!E24</f>
        <v>Vac</v>
      </c>
      <c r="I24">
        <f>Immune!I24:I59</f>
        <v>55</v>
      </c>
      <c r="J24">
        <f>Immune!I61</f>
        <v>8</v>
      </c>
      <c r="K24">
        <f>Immune!F61</f>
        <v>3</v>
      </c>
      <c r="L24">
        <f>Immune!F100</f>
        <v>2.42</v>
      </c>
      <c r="M24" s="25">
        <f t="shared" si="1"/>
        <v>0.38381536598043126</v>
      </c>
    </row>
    <row r="25" spans="1:21" x14ac:dyDescent="0.2">
      <c r="A25">
        <f>'Individual Parameters 1 2'!A45</f>
        <v>2</v>
      </c>
      <c r="B25">
        <f>'Individual Parameters 1 2'!B45</f>
        <v>5876</v>
      </c>
      <c r="C25" s="19">
        <f>'Individual Parameters 1 2'!M45</f>
        <v>109705</v>
      </c>
      <c r="D25">
        <f t="shared" si="0"/>
        <v>5.0402264217672768</v>
      </c>
      <c r="E25">
        <f>'Individual Parameters 1 2'!Q45</f>
        <v>73.101500000000001</v>
      </c>
      <c r="F25">
        <f>'Individual Parameters 1 2'!U45</f>
        <v>0.98601000000000005</v>
      </c>
      <c r="G25">
        <f>Immune!D25:D60</f>
        <v>5876</v>
      </c>
      <c r="H25" t="str">
        <f>Immune!E25</f>
        <v>Vac</v>
      </c>
      <c r="I25">
        <f>Immune!I25:I60</f>
        <v>10</v>
      </c>
      <c r="J25">
        <f>Immune!I62</f>
        <v>16</v>
      </c>
      <c r="K25">
        <f>Immune!F62</f>
        <v>6</v>
      </c>
      <c r="L25">
        <f>Immune!F101</f>
        <v>10</v>
      </c>
      <c r="M25" s="25">
        <f t="shared" si="1"/>
        <v>1</v>
      </c>
    </row>
    <row r="26" spans="1:21" x14ac:dyDescent="0.2">
      <c r="A26">
        <f>'Individual Parameters 1 2'!A46</f>
        <v>2</v>
      </c>
      <c r="B26">
        <f>'Individual Parameters 1 2'!B46</f>
        <v>5877</v>
      </c>
      <c r="C26" s="19">
        <f>'Individual Parameters 1 2'!M46</f>
        <v>17182.900000000001</v>
      </c>
      <c r="D26">
        <f t="shared" si="0"/>
        <v>4.2350964626215903</v>
      </c>
      <c r="E26">
        <f>'Individual Parameters 1 2'!Q46</f>
        <v>38.801900000000003</v>
      </c>
      <c r="F26">
        <f>'Individual Parameters 1 2'!U46</f>
        <v>1.4510700000000001</v>
      </c>
      <c r="G26">
        <f>Immune!D26:D61</f>
        <v>5877</v>
      </c>
      <c r="H26" t="str">
        <f>Immune!E26</f>
        <v>Vac</v>
      </c>
      <c r="I26">
        <f>Immune!I26:I61</f>
        <v>18</v>
      </c>
      <c r="J26">
        <f>Immune!I63</f>
        <v>10</v>
      </c>
      <c r="K26">
        <f>Immune!F63</f>
        <v>4</v>
      </c>
      <c r="L26">
        <f>Immune!F102</f>
        <v>3.7400000000000003E-2</v>
      </c>
      <c r="M26" s="25">
        <f t="shared" si="1"/>
        <v>-1.4271283977995197</v>
      </c>
    </row>
    <row r="27" spans="1:21" x14ac:dyDescent="0.2">
      <c r="A27">
        <f>'Individual Parameters 1 2'!A47</f>
        <v>2</v>
      </c>
      <c r="B27">
        <f>'Individual Parameters 1 2'!B47</f>
        <v>5879</v>
      </c>
      <c r="C27" s="19">
        <f>'Individual Parameters 1 2'!M47</f>
        <v>11955</v>
      </c>
      <c r="D27">
        <f t="shared" si="0"/>
        <v>4.0775495804517936</v>
      </c>
      <c r="E27">
        <f>'Individual Parameters 1 2'!Q47</f>
        <v>6.8013500000000002</v>
      </c>
      <c r="F27">
        <f>'Individual Parameters 1 2'!U47</f>
        <v>1.06189</v>
      </c>
      <c r="G27">
        <f>Immune!D27:D62</f>
        <v>5879</v>
      </c>
      <c r="H27" t="str">
        <f>Immune!E27</f>
        <v>Vac</v>
      </c>
      <c r="I27">
        <f>Immune!I27:I62</f>
        <v>56</v>
      </c>
      <c r="J27">
        <f>Immune!I64</f>
        <v>10</v>
      </c>
      <c r="K27">
        <f>Immune!F64</f>
        <v>6</v>
      </c>
      <c r="L27">
        <f>Immune!F103</f>
        <v>0.76600000000000001</v>
      </c>
      <c r="M27" s="25">
        <f t="shared" si="1"/>
        <v>-0.11577123036739606</v>
      </c>
    </row>
    <row r="28" spans="1:21" x14ac:dyDescent="0.2">
      <c r="A28">
        <f>'Individual Parameters 1 2'!A48</f>
        <v>2</v>
      </c>
      <c r="B28">
        <f>'Individual Parameters 1 2'!B48</f>
        <v>5880</v>
      </c>
      <c r="C28" s="19">
        <f>'Individual Parameters 1 2'!M48</f>
        <v>175144</v>
      </c>
      <c r="D28">
        <f t="shared" si="0"/>
        <v>5.2433952640543708</v>
      </c>
      <c r="E28">
        <f>'Individual Parameters 1 2'!Q48</f>
        <v>134.053</v>
      </c>
      <c r="F28">
        <f>'Individual Parameters 1 2'!U48</f>
        <v>0.76537599999999995</v>
      </c>
      <c r="G28">
        <f>Immune!D28:D63</f>
        <v>5880</v>
      </c>
      <c r="H28" t="str">
        <f>Immune!E28</f>
        <v>Vac</v>
      </c>
      <c r="I28">
        <f>Immune!I28:I63</f>
        <v>18</v>
      </c>
      <c r="J28">
        <f>Immune!I65</f>
        <v>9</v>
      </c>
      <c r="K28">
        <f>Immune!F65</f>
        <v>3</v>
      </c>
      <c r="L28">
        <f>Immune!F104</f>
        <v>5.75</v>
      </c>
      <c r="M28" s="25">
        <f t="shared" si="1"/>
        <v>0.75966784468963044</v>
      </c>
    </row>
    <row r="29" spans="1:21" x14ac:dyDescent="0.2">
      <c r="A29">
        <f>'Individual Parameters 1 2'!A49</f>
        <v>2</v>
      </c>
      <c r="B29">
        <f>'Individual Parameters 1 2'!B49</f>
        <v>5881</v>
      </c>
      <c r="C29" s="19">
        <f>'Individual Parameters 1 2'!M49</f>
        <v>251253</v>
      </c>
      <c r="D29">
        <f t="shared" si="0"/>
        <v>5.4001112560033411</v>
      </c>
      <c r="E29">
        <f>'Individual Parameters 1 2'!Q49</f>
        <v>31.407299999999999</v>
      </c>
      <c r="F29">
        <f>'Individual Parameters 1 2'!U49</f>
        <v>0.72577899999999995</v>
      </c>
      <c r="G29">
        <f>Immune!D29:D64</f>
        <v>5881</v>
      </c>
      <c r="H29" t="str">
        <f>Immune!E29</f>
        <v>Vac</v>
      </c>
      <c r="I29">
        <f>Immune!I29:I64</f>
        <v>14</v>
      </c>
      <c r="J29">
        <f>Immune!I66</f>
        <v>12</v>
      </c>
      <c r="K29">
        <f>Immune!F66</f>
        <v>5</v>
      </c>
      <c r="L29">
        <f>Immune!F105</f>
        <v>1.19</v>
      </c>
      <c r="M29" s="25">
        <f t="shared" si="1"/>
        <v>7.554696139253074E-2</v>
      </c>
    </row>
    <row r="30" spans="1:21" x14ac:dyDescent="0.2">
      <c r="A30">
        <f>'Individual Parameters 1 2'!A50</f>
        <v>2</v>
      </c>
      <c r="B30">
        <f>'Individual Parameters 1 2'!B50</f>
        <v>5882</v>
      </c>
      <c r="C30" s="19">
        <f>'Individual Parameters 1 2'!M50</f>
        <v>12801.3</v>
      </c>
      <c r="D30">
        <f t="shared" si="0"/>
        <v>4.1072540754414772</v>
      </c>
      <c r="E30">
        <f>'Individual Parameters 1 2'!Q50</f>
        <v>9.6792999999999996</v>
      </c>
      <c r="F30">
        <f>'Individual Parameters 1 2'!U50</f>
        <v>0.93229499999999998</v>
      </c>
      <c r="G30">
        <f>Immune!D30:D65</f>
        <v>5882</v>
      </c>
      <c r="H30" t="str">
        <f>Immune!E30</f>
        <v>Vac+TLR7</v>
      </c>
      <c r="I30">
        <f>Immune!I30:I65</f>
        <v>18</v>
      </c>
      <c r="J30">
        <f>Immune!I67</f>
        <v>11</v>
      </c>
      <c r="K30">
        <f>Immune!F67</f>
        <v>5</v>
      </c>
      <c r="L30">
        <f>Immune!F106</f>
        <v>3.63</v>
      </c>
      <c r="M30" s="25">
        <f t="shared" si="1"/>
        <v>0.55990662503611255</v>
      </c>
    </row>
    <row r="31" spans="1:21" x14ac:dyDescent="0.2">
      <c r="A31">
        <f>'Individual Parameters 1 2'!A51</f>
        <v>2</v>
      </c>
      <c r="B31">
        <f>'Individual Parameters 1 2'!B51</f>
        <v>5883</v>
      </c>
      <c r="C31" s="19">
        <f>'Individual Parameters 1 2'!M51</f>
        <v>668.00400000000002</v>
      </c>
      <c r="D31">
        <f t="shared" si="0"/>
        <v>2.8247790630335197</v>
      </c>
      <c r="E31">
        <f>'Individual Parameters 1 2'!Q51</f>
        <v>7.8928900000000004</v>
      </c>
      <c r="F31">
        <f>'Individual Parameters 1 2'!U51</f>
        <v>0.72668900000000003</v>
      </c>
      <c r="G31">
        <f>Immune!D31:D66</f>
        <v>5883</v>
      </c>
      <c r="H31" t="str">
        <f>Immune!E31</f>
        <v>Vac+TLR7</v>
      </c>
      <c r="I31">
        <f>Immune!I31:I66</f>
        <v>16</v>
      </c>
      <c r="J31">
        <f>Immune!I68</f>
        <v>9</v>
      </c>
      <c r="K31">
        <f>Immune!F68</f>
        <v>4</v>
      </c>
      <c r="L31">
        <f>Immune!F107</f>
        <v>4.6100000000000003</v>
      </c>
      <c r="M31" s="25">
        <f t="shared" si="1"/>
        <v>0.6637009253896482</v>
      </c>
    </row>
    <row r="32" spans="1:21" x14ac:dyDescent="0.2">
      <c r="A32">
        <f>'Individual Parameters 1 2'!A52</f>
        <v>2</v>
      </c>
      <c r="B32">
        <f>'Individual Parameters 1 2'!B52</f>
        <v>5884</v>
      </c>
      <c r="C32" s="19">
        <f>'Individual Parameters 1 2'!M52</f>
        <v>25844.400000000001</v>
      </c>
      <c r="D32">
        <f t="shared" si="0"/>
        <v>4.4123664541003871</v>
      </c>
      <c r="E32">
        <f>'Individual Parameters 1 2'!Q52</f>
        <v>52.067900000000002</v>
      </c>
      <c r="F32">
        <f>'Individual Parameters 1 2'!U52</f>
        <v>0.59149700000000005</v>
      </c>
      <c r="G32">
        <f>Immune!D32:D67</f>
        <v>5884</v>
      </c>
      <c r="H32" t="str">
        <f>Immune!E32</f>
        <v>Vac+TLR7</v>
      </c>
      <c r="I32">
        <f>Immune!I32:I67</f>
        <v>4</v>
      </c>
      <c r="J32">
        <f>Immune!I69</f>
        <v>25</v>
      </c>
      <c r="K32">
        <f>Immune!F69</f>
        <v>7</v>
      </c>
      <c r="L32">
        <f>Immune!F108</f>
        <v>1.26</v>
      </c>
      <c r="M32" s="25">
        <f t="shared" si="1"/>
        <v>0.10037054511756291</v>
      </c>
    </row>
    <row r="33" spans="1:21" x14ac:dyDescent="0.2">
      <c r="C33" s="19"/>
      <c r="G33">
        <f>Immune!D33:D68</f>
        <v>5885</v>
      </c>
      <c r="H33" t="str">
        <f>Immune!E33</f>
        <v>Vac+TLR7</v>
      </c>
      <c r="M33" s="25"/>
    </row>
    <row r="34" spans="1:21" x14ac:dyDescent="0.2">
      <c r="A34">
        <f>'Individual Parameters 1 2'!A53</f>
        <v>2</v>
      </c>
      <c r="B34">
        <f>'Individual Parameters 1 2'!B53</f>
        <v>5886</v>
      </c>
      <c r="C34" s="19">
        <f>'Individual Parameters 1 2'!M53</f>
        <v>1388.41</v>
      </c>
      <c r="D34">
        <f t="shared" si="0"/>
        <v>3.1425177330094427</v>
      </c>
      <c r="E34">
        <f>'Individual Parameters 1 2'!Q53</f>
        <v>16.796299999999999</v>
      </c>
      <c r="F34">
        <f>'Individual Parameters 1 2'!U53</f>
        <v>0.41743799999999998</v>
      </c>
      <c r="G34">
        <f>Immune!D34:D69</f>
        <v>5886</v>
      </c>
      <c r="H34" t="str">
        <f>Immune!E34</f>
        <v>Vac+TLR7</v>
      </c>
      <c r="I34">
        <f>Immune!I34:I69</f>
        <v>4</v>
      </c>
      <c r="J34">
        <f>Immune!I71</f>
        <v>15</v>
      </c>
      <c r="K34">
        <f>Immune!F71</f>
        <v>5</v>
      </c>
      <c r="L34">
        <f>Immune!F110</f>
        <v>0.62</v>
      </c>
      <c r="M34" s="25">
        <f t="shared" si="1"/>
        <v>-0.20760831050174613</v>
      </c>
    </row>
    <row r="35" spans="1:21" x14ac:dyDescent="0.2">
      <c r="A35">
        <f>'Individual Parameters 1 2'!A54</f>
        <v>2</v>
      </c>
      <c r="B35">
        <f>'Individual Parameters 1 2'!B54</f>
        <v>5887</v>
      </c>
      <c r="C35" s="19">
        <f>'Individual Parameters 1 2'!M54</f>
        <v>11150.2</v>
      </c>
      <c r="D35">
        <f t="shared" si="0"/>
        <v>4.0472826573498644</v>
      </c>
      <c r="E35">
        <f>'Individual Parameters 1 2'!Q54</f>
        <v>25.575900000000001</v>
      </c>
      <c r="F35">
        <f>'Individual Parameters 1 2'!U54</f>
        <v>0.53837400000000002</v>
      </c>
      <c r="G35">
        <f>Immune!D35:D70</f>
        <v>5887</v>
      </c>
      <c r="H35" t="str">
        <f>Immune!E35</f>
        <v>Vac+TLR7</v>
      </c>
      <c r="I35">
        <f>Immune!I35:I70</f>
        <v>7</v>
      </c>
      <c r="J35">
        <f>Immune!I72</f>
        <v>12</v>
      </c>
      <c r="K35">
        <f>Immune!F72</f>
        <v>5</v>
      </c>
      <c r="L35">
        <f>Immune!F111</f>
        <v>0.91</v>
      </c>
      <c r="M35" s="25">
        <f t="shared" si="1"/>
        <v>-4.0958607678906384E-2</v>
      </c>
      <c r="Q35" t="s">
        <v>97</v>
      </c>
    </row>
    <row r="36" spans="1:21" x14ac:dyDescent="0.2">
      <c r="A36">
        <f>'Individual Parameters 1 2'!A55</f>
        <v>2</v>
      </c>
      <c r="B36">
        <f>'Individual Parameters 1 2'!B55</f>
        <v>5888</v>
      </c>
      <c r="C36" s="19">
        <f>'Individual Parameters 1 2'!M55</f>
        <v>21745.3</v>
      </c>
      <c r="D36">
        <f t="shared" si="0"/>
        <v>4.33736540360613</v>
      </c>
      <c r="E36">
        <f>'Individual Parameters 1 2'!Q55</f>
        <v>18.379100000000001</v>
      </c>
      <c r="F36">
        <f>'Individual Parameters 1 2'!U55</f>
        <v>0.91446700000000003</v>
      </c>
      <c r="G36">
        <f>Immune!D36:D71</f>
        <v>5888</v>
      </c>
      <c r="H36" t="str">
        <f>Immune!E36</f>
        <v>Vac+TLR7</v>
      </c>
      <c r="I36">
        <f>Immune!I36:I71</f>
        <v>9</v>
      </c>
      <c r="J36">
        <f>Immune!I73</f>
        <v>16</v>
      </c>
      <c r="K36">
        <f>Immune!F73</f>
        <v>6</v>
      </c>
      <c r="L36">
        <f>Immune!F112</f>
        <v>0.76</v>
      </c>
      <c r="M36" s="25">
        <f t="shared" si="1"/>
        <v>-0.11918640771920865</v>
      </c>
      <c r="O36" s="18" t="s">
        <v>85</v>
      </c>
      <c r="P36" s="26">
        <f>PEARSON(D3:D38,J3:J38)</f>
        <v>-0.70238114743354196</v>
      </c>
      <c r="Q36" s="25">
        <f>PEARSON(D3:D11,J3:J11)</f>
        <v>-0.49934878937143301</v>
      </c>
      <c r="T36" t="s">
        <v>85</v>
      </c>
      <c r="U36" s="25">
        <f>PEARSON(E3:E38,J3:J38)</f>
        <v>-0.18561416997372268</v>
      </c>
    </row>
    <row r="37" spans="1:21" x14ac:dyDescent="0.2">
      <c r="A37">
        <f>'Individual Parameters 1 2'!A56</f>
        <v>2</v>
      </c>
      <c r="B37">
        <f>'Individual Parameters 1 2'!B56</f>
        <v>5889</v>
      </c>
      <c r="C37" s="19">
        <f>'Individual Parameters 1 2'!M56</f>
        <v>30211.599999999999</v>
      </c>
      <c r="D37">
        <f t="shared" si="0"/>
        <v>4.480173726027024</v>
      </c>
      <c r="E37">
        <f>'Individual Parameters 1 2'!Q56</f>
        <v>86.690399999999997</v>
      </c>
      <c r="F37">
        <f>'Individual Parameters 1 2'!U56</f>
        <v>0.64172499999999999</v>
      </c>
      <c r="G37">
        <f>Immune!D37:D72</f>
        <v>5889</v>
      </c>
      <c r="H37" t="str">
        <f>Immune!E37</f>
        <v>Vac+TLR7</v>
      </c>
      <c r="I37">
        <f>Immune!I37:I72</f>
        <v>13</v>
      </c>
      <c r="J37">
        <f>Immune!I74</f>
        <v>0</v>
      </c>
      <c r="K37">
        <f>Immune!F74</f>
        <v>0</v>
      </c>
      <c r="L37">
        <f>Immune!F113</f>
        <v>2.76E-2</v>
      </c>
      <c r="M37" s="25">
        <f t="shared" si="1"/>
        <v>-1.5590909179347823</v>
      </c>
      <c r="O37" s="18" t="s">
        <v>86</v>
      </c>
      <c r="P37" s="26">
        <f>P36*SQRT(33)/SQRT(1-P36^2)</f>
        <v>-5.6685397516385763</v>
      </c>
      <c r="Q37" s="27">
        <f>Q36*SQRT(9)/SQRT(1-Q36^2)</f>
        <v>-1.7290449509699213</v>
      </c>
      <c r="T37" t="s">
        <v>86</v>
      </c>
      <c r="U37" s="25">
        <f>U36*SQRT(33)/SQRT(1-U36^2)</f>
        <v>-1.0851288315817411</v>
      </c>
    </row>
    <row r="38" spans="1:21" x14ac:dyDescent="0.2">
      <c r="A38">
        <f>'Individual Parameters 1 2'!A57</f>
        <v>2</v>
      </c>
      <c r="B38">
        <f>'Individual Parameters 1 2'!B57</f>
        <v>5890</v>
      </c>
      <c r="C38" s="19">
        <f>'Individual Parameters 1 2'!M57</f>
        <v>1605.4</v>
      </c>
      <c r="D38">
        <f>LOG10(C38)</f>
        <v>3.205583258640754</v>
      </c>
      <c r="E38">
        <f>'Individual Parameters 1 2'!Q57</f>
        <v>10.5337</v>
      </c>
      <c r="F38">
        <f>'Individual Parameters 1 2'!U57</f>
        <v>1.04339</v>
      </c>
      <c r="G38">
        <f>Immune!D38:D73</f>
        <v>5890</v>
      </c>
      <c r="H38" t="str">
        <f>Immune!E38</f>
        <v>Vac+TLR7</v>
      </c>
      <c r="I38">
        <f>Immune!I38:I73</f>
        <v>37</v>
      </c>
      <c r="J38">
        <f>Immune!I75</f>
        <v>26</v>
      </c>
      <c r="K38">
        <f>Immune!F75</f>
        <v>9</v>
      </c>
      <c r="L38">
        <f>Immune!F114</f>
        <v>5.08</v>
      </c>
      <c r="M38" s="25">
        <f t="shared" si="1"/>
        <v>0.70586371228391931</v>
      </c>
      <c r="O38" s="18" t="s">
        <v>87</v>
      </c>
      <c r="P38" s="29">
        <f>_xlfn.T.DIST.2T(ABS(P37),33)</f>
        <v>2.5626541283374254E-6</v>
      </c>
      <c r="Q38" s="27">
        <f>_xlfn.T.DIST.2T(ABS(Q37),9)</f>
        <v>0.11786157886309394</v>
      </c>
      <c r="T38" t="s">
        <v>87</v>
      </c>
      <c r="U38" s="25">
        <f>_xlfn.T.DIST.2T(ABS(U37),33)</f>
        <v>0.28572853858270808</v>
      </c>
    </row>
    <row r="40" spans="1:21" x14ac:dyDescent="0.2">
      <c r="O40" s="22"/>
      <c r="P40" s="22"/>
    </row>
    <row r="41" spans="1:21" x14ac:dyDescent="0.2">
      <c r="O41" s="22"/>
      <c r="P41" s="22"/>
    </row>
    <row r="42" spans="1:21" x14ac:dyDescent="0.2">
      <c r="O42" s="22"/>
      <c r="P42" s="22"/>
    </row>
    <row r="54" spans="15:17" x14ac:dyDescent="0.2">
      <c r="Q54" t="s">
        <v>97</v>
      </c>
    </row>
    <row r="55" spans="15:17" x14ac:dyDescent="0.2">
      <c r="O55" s="18" t="s">
        <v>85</v>
      </c>
      <c r="P55" s="26">
        <f>PEARSON(D3:D38,K3:K38)</f>
        <v>-0.74508245712129828</v>
      </c>
      <c r="Q55" s="25">
        <f>PEARSON(D3:D11,K3:K11)</f>
        <v>-0.53270023621644524</v>
      </c>
    </row>
    <row r="56" spans="15:17" x14ac:dyDescent="0.2">
      <c r="O56" s="18" t="s">
        <v>86</v>
      </c>
      <c r="P56" s="26">
        <f>P55*SQRT(33)/SQRT(1-P55^2)</f>
        <v>-6.4173166590038866</v>
      </c>
      <c r="Q56" s="27">
        <f>Q55*SQRT(9)/SQRT(1-Q55^2)</f>
        <v>-1.8883293839696269</v>
      </c>
    </row>
    <row r="57" spans="15:17" x14ac:dyDescent="0.2">
      <c r="O57" s="18" t="s">
        <v>87</v>
      </c>
      <c r="P57" s="29">
        <f>_xlfn.T.DIST.2T(ABS(P56),33)</f>
        <v>2.8398139683990634E-7</v>
      </c>
      <c r="Q57" s="27">
        <f>_xlfn.T.DIST.2T(ABS(Q56),9)</f>
        <v>9.1580291625778937E-2</v>
      </c>
    </row>
    <row r="75" spans="15:26" x14ac:dyDescent="0.2">
      <c r="O75" s="21" t="s">
        <v>85</v>
      </c>
      <c r="P75" s="27">
        <f>PEARSON(D3:D38,M3:M38)</f>
        <v>-0.57343968553668712</v>
      </c>
      <c r="T75" s="21" t="s">
        <v>85</v>
      </c>
      <c r="U75" s="27">
        <f>PEARSON(E3:E38,L3:L38)</f>
        <v>-0.16977801040555854</v>
      </c>
      <c r="Y75" s="21" t="s">
        <v>85</v>
      </c>
      <c r="Z75" s="27">
        <f>PEARSON(F3:F38,L3:L38)</f>
        <v>-7.8137432277782748E-2</v>
      </c>
    </row>
    <row r="76" spans="15:26" x14ac:dyDescent="0.2">
      <c r="O76" s="21" t="s">
        <v>86</v>
      </c>
      <c r="P76" s="27">
        <f>P75*SQRT(33)/SQRT(1-P75^2)</f>
        <v>-4.0209571182818227</v>
      </c>
      <c r="T76" s="21" t="s">
        <v>86</v>
      </c>
      <c r="U76" s="27">
        <f>U75*SQRT(33)/SQRT(1-U75^2)</f>
        <v>-0.98966808927932315</v>
      </c>
      <c r="Y76" s="21" t="s">
        <v>86</v>
      </c>
      <c r="Z76" s="27">
        <f>Z75*SQRT(33)/SQRT(1-Z75^2)</f>
        <v>-0.45024194584343807</v>
      </c>
    </row>
    <row r="77" spans="15:26" x14ac:dyDescent="0.2">
      <c r="O77" s="21" t="s">
        <v>87</v>
      </c>
      <c r="P77" s="30">
        <f>_xlfn.T.DIST.2T(ABS(P76),33)</f>
        <v>3.1701153806944346E-4</v>
      </c>
      <c r="T77" s="21" t="s">
        <v>87</v>
      </c>
      <c r="U77" s="27">
        <f>_xlfn.T.DIST.2T(ABS(U76),33)</f>
        <v>0.32953780538513944</v>
      </c>
      <c r="Y77" s="21" t="s">
        <v>87</v>
      </c>
      <c r="Z77" s="27">
        <f>_xlfn.T.DIST.2T(ABS(Z76),33)</f>
        <v>0.65548007504123396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SIV DNA</vt:lpstr>
      <vt:lpstr>CD4</vt:lpstr>
      <vt:lpstr>Immune</vt:lpstr>
      <vt:lpstr>Individual Parameters 1 2</vt:lpstr>
      <vt:lpstr>Individual Parameters S3</vt:lpstr>
      <vt:lpstr>Reservoir correlations</vt:lpstr>
      <vt:lpstr>CD4 Correlations</vt:lpstr>
      <vt:lpstr>Immune Correlations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Hill</dc:creator>
  <cp:lastModifiedBy>Alison Hill</cp:lastModifiedBy>
  <dcterms:created xsi:type="dcterms:W3CDTF">2019-11-27T03:16:25Z</dcterms:created>
  <dcterms:modified xsi:type="dcterms:W3CDTF">2020-06-12T04:27:07Z</dcterms:modified>
</cp:coreProperties>
</file>